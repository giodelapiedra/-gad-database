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onal\Desktop\Jenny's files\JENNY_1\GAD\GAD Plan and Budget\2025\"/>
    </mc:Choice>
  </mc:AlternateContent>
  <xr:revisionPtr revIDLastSave="0" documentId="13_ncr:1_{19C2C002-8238-453D-8056-A2116527B0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nk" sheetId="1" r:id="rId1"/>
    <sheet name="SALARY DATABASE" sheetId="3" state="hidden" r:id="rId2"/>
    <sheet name="BAF" sheetId="4" state="hidden" r:id="rId3"/>
    <sheet name="CDRRMO" sheetId="5" state="hidden" r:id="rId4"/>
  </sheets>
  <definedNames>
    <definedName name="_xlnm.Print_Area" localSheetId="0">Blank!$A$1:$I$30</definedName>
    <definedName name="_xlnm.Print_Area" localSheetId="3">CDRRMO!$A$1:$I$27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5" l="1"/>
  <c r="G15" i="5"/>
  <c r="G18" i="5" s="1"/>
  <c r="H15" i="5"/>
  <c r="F15" i="5"/>
  <c r="H6" i="5" s="1"/>
  <c r="G22" i="5"/>
  <c r="F23" i="5" l="1"/>
  <c r="F12" i="4" l="1"/>
  <c r="G17" i="4"/>
  <c r="F18" i="4" s="1"/>
  <c r="H5" i="4" s="1"/>
  <c r="C26" i="3" l="1"/>
  <c r="D25" i="3"/>
  <c r="E25" i="3" s="1"/>
  <c r="F25" i="3" s="1"/>
  <c r="D24" i="3"/>
  <c r="E24" i="3" s="1"/>
  <c r="F24" i="3" s="1"/>
  <c r="D23" i="3"/>
  <c r="E23" i="3" s="1"/>
  <c r="F23" i="3" s="1"/>
  <c r="D22" i="3"/>
  <c r="E22" i="3" s="1"/>
  <c r="F22" i="3" s="1"/>
  <c r="D21" i="3"/>
  <c r="E21" i="3" s="1"/>
  <c r="F21" i="3" s="1"/>
  <c r="D20" i="3"/>
  <c r="E20" i="3" s="1"/>
  <c r="F20" i="3" s="1"/>
  <c r="D19" i="3"/>
  <c r="E19" i="3" s="1"/>
  <c r="F19" i="3" s="1"/>
  <c r="D18" i="3"/>
  <c r="E18" i="3" s="1"/>
  <c r="F18" i="3" s="1"/>
  <c r="D17" i="3"/>
  <c r="E17" i="3" s="1"/>
  <c r="F17" i="3" s="1"/>
  <c r="D16" i="3"/>
  <c r="E16" i="3" s="1"/>
  <c r="F16" i="3" s="1"/>
  <c r="D15" i="3"/>
  <c r="E15" i="3" s="1"/>
  <c r="F15" i="3" s="1"/>
  <c r="D14" i="3"/>
  <c r="E14" i="3" s="1"/>
  <c r="F14" i="3" s="1"/>
  <c r="D13" i="3"/>
  <c r="E13" i="3" s="1"/>
  <c r="F13" i="3" s="1"/>
  <c r="D12" i="3"/>
  <c r="E12" i="3" s="1"/>
  <c r="F12" i="3" s="1"/>
  <c r="D11" i="3"/>
  <c r="E11" i="3" s="1"/>
  <c r="F11" i="3" s="1"/>
  <c r="D10" i="3"/>
  <c r="E10" i="3" s="1"/>
  <c r="F10" i="3" s="1"/>
  <c r="D9" i="3"/>
  <c r="E9" i="3" s="1"/>
  <c r="F9" i="3" s="1"/>
  <c r="D8" i="3"/>
  <c r="E8" i="3" s="1"/>
  <c r="F8" i="3" s="1"/>
  <c r="D7" i="3"/>
  <c r="E7" i="3" s="1"/>
  <c r="F7" i="3" s="1"/>
  <c r="D6" i="3"/>
  <c r="E6" i="3" s="1"/>
  <c r="F6" i="3" s="1"/>
  <c r="D5" i="3"/>
  <c r="E5" i="3" s="1"/>
  <c r="F5" i="3" s="1"/>
  <c r="D4" i="3"/>
  <c r="D3" i="3"/>
  <c r="E3" i="3" s="1"/>
  <c r="F3" i="3" l="1"/>
  <c r="D26" i="3"/>
  <c r="E4" i="3"/>
  <c r="F4" i="3" s="1"/>
  <c r="G15" i="1"/>
  <c r="E26" i="3" l="1"/>
  <c r="F26" i="3" s="1"/>
  <c r="F26" i="1" l="1"/>
</calcChain>
</file>

<file path=xl/sharedStrings.xml><?xml version="1.0" encoding="utf-8"?>
<sst xmlns="http://schemas.openxmlformats.org/spreadsheetml/2006/main" count="181" uniqueCount="110">
  <si>
    <t>ANNUAL GENDER AND DEVELOPMENT (GAD) PLAN AND BUDGET</t>
  </si>
  <si>
    <t>Region:</t>
  </si>
  <si>
    <t>IV - A</t>
  </si>
  <si>
    <t>Total LGU Budget</t>
  </si>
  <si>
    <t>Province:</t>
  </si>
  <si>
    <t>Batangas</t>
  </si>
  <si>
    <t>Total GAD Budget</t>
  </si>
  <si>
    <t>City/ Municipality:</t>
  </si>
  <si>
    <t>Tanauan City</t>
  </si>
  <si>
    <t>Gender Issue or GAD Mandate
(1)</t>
  </si>
  <si>
    <t>GAD Objective
(2)</t>
  </si>
  <si>
    <t>Relevant LGU Program or Project
(3)</t>
  </si>
  <si>
    <t>GAD Activity
(4)</t>
  </si>
  <si>
    <t>Performance Indicator and Target 
(5)</t>
  </si>
  <si>
    <t>GAD Budget</t>
  </si>
  <si>
    <t>Variance or Remarks 
(9)</t>
  </si>
  <si>
    <t>MOOE
(6)</t>
  </si>
  <si>
    <t>PS
(7)</t>
  </si>
  <si>
    <t>CO
(8)</t>
  </si>
  <si>
    <t>CLIENT- FOCUSED</t>
  </si>
  <si>
    <t>Sub Total A</t>
  </si>
  <si>
    <t>ORGANIZATION FOCUSED</t>
  </si>
  <si>
    <t>Sub Total B</t>
  </si>
  <si>
    <t xml:space="preserve">Date:
                                             </t>
  </si>
  <si>
    <t>GRAND TOTAL (A+B)</t>
  </si>
  <si>
    <t>Approved by:
                      ANNA LIZA R. GONZALES
                              Department Head</t>
  </si>
  <si>
    <t>CITY ASSESSOR OFFICE</t>
  </si>
  <si>
    <t>GONZALES, ANNA LIZA R.</t>
  </si>
  <si>
    <t>MAGADIA, CATALINA J.</t>
  </si>
  <si>
    <t>OPEÑA, MARCELINA M.</t>
  </si>
  <si>
    <t>AGQUIZ, EMILIA M.</t>
  </si>
  <si>
    <t>MAGLINAO, ALEX M.</t>
  </si>
  <si>
    <t>ANDAYA, MARLON N.</t>
  </si>
  <si>
    <t>BALAHADIA, MAURA R.</t>
  </si>
  <si>
    <t>MAGPANTAY, EVA M.</t>
  </si>
  <si>
    <t>CONTRERAS, MARIAN A.</t>
  </si>
  <si>
    <t>BRIÑAS, GENNALYN Q.</t>
  </si>
  <si>
    <t>LARIDA, MEDYLYN T.</t>
  </si>
  <si>
    <t>MANZANERO, ROMULO G.</t>
  </si>
  <si>
    <t>SENO, MARINA B.</t>
  </si>
  <si>
    <t>CAPACIA, IMEE R.</t>
  </si>
  <si>
    <t>PITOGO, CYNTHIA G.</t>
  </si>
  <si>
    <t>GARNIEL, REINIER JOHN Z.</t>
  </si>
  <si>
    <t>ROXAS, REN ANZELL N.</t>
  </si>
  <si>
    <t>MARFA, JED A.</t>
  </si>
  <si>
    <t>OPEÑA, MEL KEIVIN M.</t>
  </si>
  <si>
    <t>EVELYN</t>
  </si>
  <si>
    <t>ANDAYA, ERIKA L.</t>
  </si>
  <si>
    <t>MORENO, ROMMEL</t>
  </si>
  <si>
    <t>PAMUTAN, BLESSIE</t>
  </si>
  <si>
    <t>NO.</t>
  </si>
  <si>
    <t>NAME</t>
  </si>
  <si>
    <t>PER KINSENAS</t>
  </si>
  <si>
    <t>PER MONTH</t>
  </si>
  <si>
    <t>PER DAY</t>
  </si>
  <si>
    <t>PER HOUR</t>
  </si>
  <si>
    <t>Prepared by:
                         JED A. MARFA
                         TWG Member</t>
  </si>
  <si>
    <t>REGULAR EMPLOYEE</t>
  </si>
  <si>
    <t>JOB ORDER EMPLOYEE</t>
  </si>
  <si>
    <t>ANNEX D</t>
  </si>
  <si>
    <t>FY 2023</t>
  </si>
  <si>
    <t>RA 9710 or Magna Carta of Women Rule IV- Rights and Empowerment Section 16. Equal Access and Elimitation of Discrimination in Education, Scholarships, and Trainings
Tanauan City GAD Code Article VI- Education Right Section 2- Scholarship Program- The local government shall provide this scholarship program for the poor but deserving students in elementary, high schools, colleges and universities located within the jurisdiction of the city.</t>
  </si>
  <si>
    <t xml:space="preserve">Provided scholarship to the poor but deserving students lementary, high schools, colleges and universities located within the jurisdiction of the city. </t>
  </si>
  <si>
    <t>Scholarship Program</t>
  </si>
  <si>
    <t xml:space="preserve">Provide scholarship to the poor but deserving students lementary, high schools, colleges and universities located within the jurisdiction of the city. </t>
  </si>
  <si>
    <t xml:space="preserve">% of scholarship program provided to the poor but deserving students lementary, high schools, colleges and universities located within the jurisdiction of the city. 
100% of scholarship program provided to the poor but deserving students lementary, high schools, colleges and universities located within the jurisdiction of the city. </t>
  </si>
  <si>
    <t>RA 10368 18-day Campaign to end VAW</t>
  </si>
  <si>
    <t>Joined the 18-day Campaign to End VAW</t>
  </si>
  <si>
    <t>Gender and Development</t>
  </si>
  <si>
    <t>Partipation to 18-day Campaign to End VAW Programs and Activities</t>
  </si>
  <si>
    <t>RA 6494 Women's Month Celebration</t>
  </si>
  <si>
    <t>Participated to National Women's Month Celebration Programs</t>
  </si>
  <si>
    <t>Participation to National Women's Month Celebration Programs and Activities</t>
  </si>
  <si>
    <t>RA 9710 Rule VI, Sec. 36 Creation/ Strengthening of GFPS               
The need to perform GFPS functions in planning, implementing and monitoring and evaluation of GAD PPAs</t>
  </si>
  <si>
    <t>Performed GFPS functions in planning, implementing, monitoring, and evaluation of GAD PPAs</t>
  </si>
  <si>
    <t>Performance of GFPS functions in planning, implementing, monitoring, and evaluation of GAD PPAs</t>
  </si>
  <si>
    <t xml:space="preserve">Percentage of GFPS functions performed functions in planning, implementing, monitoring, and evaluation of GAD PPAs 
100% of GFPS functions performed functions in planning, implementing, monitoring, and evaluation of GAD PPAs by end of 2025                                                                                                                                                                                                                                </t>
  </si>
  <si>
    <t>Mayor's Office (Barangay Affairs Office)</t>
  </si>
  <si>
    <t>Number of women and men Barangay Affairs Office employees participated to the annual observance of 18-Day Campaign to end VAW on November 2025</t>
  </si>
  <si>
    <t>Number of women and men Barangay Affairs Officeparticipated to women's month on March 2025</t>
  </si>
  <si>
    <t>ATTRIBUTED PROGRAMS</t>
  </si>
  <si>
    <t>Title of LGU Program or Project</t>
  </si>
  <si>
    <t xml:space="preserve">HGDG Design/
Funding Facility/
Generic Checklist Score
</t>
  </si>
  <si>
    <t xml:space="preserve">Total Annual Program/ Project Budget </t>
  </si>
  <si>
    <t>GAD Attributed Program/Project Budget</t>
  </si>
  <si>
    <t>Lead or
Responsible
Office</t>
  </si>
  <si>
    <t>Lead or
Responsible
Office
(9)</t>
  </si>
  <si>
    <t>FY 2024</t>
  </si>
  <si>
    <t>Organized training/ orientation/ activities in Disaster Response and Rescue Operations to upgrade skills on Operations to upgrade skills on Disaster Response and Rescue Operations</t>
  </si>
  <si>
    <t>Constructed and rehabilitated drainage for flood control, ripraping for possible landslide and stone masonry for storm surge for a disaster- ready public infrastructure of various barangays.</t>
  </si>
  <si>
    <t>Conducted trainings and seminars on Basic Life Support/ Basic First Aid for barangay functionaries</t>
  </si>
  <si>
    <t>Insufficient awareness among BDRRMC in Disaster Response and Rescue Operations</t>
  </si>
  <si>
    <t>Poor construction of infrastructure/ facilities that is hazardous in times of disasters, calamities and other crisis situation to women and men constituents of affected barangays</t>
  </si>
  <si>
    <t>RA 9710 Magna Carta of Women Chapter 4- Rights and Empowerment, Section 10-Women Affected by Disasters, Calamities and other crisis situation</t>
  </si>
  <si>
    <t>Insufficient awareness among LDRRMC in Disaster Response and Rescue Operations</t>
  </si>
  <si>
    <t>Social Services (Incident Command System)</t>
  </si>
  <si>
    <t>Organize training/ orientation/ activities in Disaster Response and Rescue Operations to upgrade skills on Operations to upgrade skills on Disaster Response activities</t>
  </si>
  <si>
    <t>% of women and men attended training/ orientation/ activities in Disaster Response and Rescue Operations to upgrade skills on Operations by the end of 3rd Quarter 2024
100% of women and men attended training/ orientation/ activities in Disaster Response and Rescue Operations to upgrade skills on Operations by the end of 3rd Quarter 2024
MOOE:
Food and Accomodation- 300,000.00
Honorarium for LSP- 30,000.00
Training Materials- 10,000.00
Transportation- 60,000.00</t>
  </si>
  <si>
    <t>Public works snd infrastructure</t>
  </si>
  <si>
    <t>Contruction and rehabilitation of drainage for flood control, ripraping for possible landslide and stone masonry for storm surge for a disaster-ready public infrastructure of various barangays.</t>
  </si>
  <si>
    <t>% of contruction and rehabilitation of drainage for flood control, ripraping for possible landslide and stone masonry for storm surge for a disaster-ready public infrastructure of various barangays.
100% of contruction and rehabilitation of drainage for flood control, ripraping for possible landslide and stone masonry for storm surge for a disaster-ready public infrastructure of various barangays.
Capital Outlay: Construction and Rehabilitation of drainage, ripraping and stone masonry- 20,000,000.00</t>
  </si>
  <si>
    <t>Conduct trainings and seminars on Basic Life Support/ Basic First Aid for barangay functionaries</t>
  </si>
  <si>
    <t>Number of women and men barangay functionaries trained on BLS/BFA by the end of 2nd quarter of 2024
250 women and men barangay functionaries trained on BLS/BFA by the end of 2nd quarter of 2024
MOOE:
Food- (P285.00*250
persons* 2days)= 142,500.00
Training Supplies- 7,500.00</t>
  </si>
  <si>
    <t>% of women and men attended training/ orientation/ activities in Disaster Response and Rescue Operations to upgrade skills on Operations by the end ofrd Quarter 2024
100% of women and men attended training/ orientation/ activities in Disaster Response and Rescue Operations to upgrade skills on Operations by the end ofrd Quarter 2024
MOOE:
Food and Accomodation- 200,000.00
Honoraruim for LSP- 20,000.00
Transporation- 80,000.00</t>
  </si>
  <si>
    <t>CDRRMO</t>
  </si>
  <si>
    <t>Supply, Delivery, Installation, Testing and Commisioning of Multi-Hazard Impact-Based Monitoring and Early Warning System of the City Disaster Risk Reduction and Management Office and Forty-Eight (48) Barangays of Tanauan City, Batangas</t>
  </si>
  <si>
    <t>CITY DISASTER RISK REDUCTION AND MANAGEMENT OFFICE</t>
  </si>
  <si>
    <t>GAD PLAN AND BUDGET</t>
  </si>
  <si>
    <t>FY 2026</t>
  </si>
  <si>
    <t>(please include breakdown here)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</si>
</sst>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;[Red]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FF0000"/>
      <name val="Arial"/>
      <family val="2"/>
    </font>
    <font>
      <sz val="12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  <charset val="134"/>
    </font>
    <font>
      <sz val="11"/>
      <color indexed="8"/>
      <name val="Calibri"/>
      <family val="2"/>
      <charset val="134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1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</cellStyleXfs>
  <cellXfs count="140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1" applyFont="1" applyBorder="1" applyAlignment="1">
      <alignment vertical="center"/>
    </xf>
    <xf numFmtId="164" fontId="2" fillId="0" borderId="1" xfId="1" applyFont="1" applyBorder="1"/>
    <xf numFmtId="164" fontId="3" fillId="0" borderId="0" xfId="0" applyNumberFormat="1" applyFont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4" fontId="4" fillId="0" borderId="0" xfId="0" applyNumberFormat="1" applyFont="1"/>
    <xf numFmtId="9" fontId="4" fillId="0" borderId="0" xfId="2" applyFont="1"/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8" fillId="0" borderId="0" xfId="0" applyFont="1"/>
    <xf numFmtId="0" fontId="3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4" fillId="0" borderId="0" xfId="1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15" fillId="0" borderId="0" xfId="0" applyFont="1"/>
    <xf numFmtId="0" fontId="16" fillId="0" borderId="0" xfId="0" applyFont="1" applyAlignment="1">
      <alignment horizontal="left" vertical="center"/>
    </xf>
    <xf numFmtId="2" fontId="14" fillId="3" borderId="10" xfId="0" applyNumberFormat="1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2" fontId="14" fillId="0" borderId="10" xfId="0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left" vertical="center" wrapText="1"/>
    </xf>
    <xf numFmtId="2" fontId="5" fillId="6" borderId="10" xfId="0" applyNumberFormat="1" applyFont="1" applyFill="1" applyBorder="1" applyAlignment="1">
      <alignment horizontal="right" vertical="center"/>
    </xf>
    <xf numFmtId="2" fontId="5" fillId="6" borderId="12" xfId="0" applyNumberFormat="1" applyFont="1" applyFill="1" applyBorder="1" applyAlignment="1">
      <alignment horizontal="center" vertical="center" wrapText="1"/>
    </xf>
    <xf numFmtId="164" fontId="16" fillId="0" borderId="10" xfId="1" applyFont="1" applyBorder="1" applyAlignment="1">
      <alignment horizontal="center" vertical="center"/>
    </xf>
    <xf numFmtId="0" fontId="7" fillId="6" borderId="11" xfId="0" applyFont="1" applyFill="1" applyBorder="1" applyAlignment="1">
      <alignment vertical="top" wrapText="1"/>
    </xf>
    <xf numFmtId="0" fontId="7" fillId="6" borderId="2" xfId="0" applyFont="1" applyFill="1" applyBorder="1" applyAlignment="1">
      <alignment vertical="top" wrapText="1"/>
    </xf>
    <xf numFmtId="0" fontId="7" fillId="6" borderId="12" xfId="0" applyFont="1" applyFill="1" applyBorder="1" applyAlignment="1">
      <alignment vertical="top" wrapText="1"/>
    </xf>
    <xf numFmtId="4" fontId="7" fillId="6" borderId="10" xfId="0" applyNumberFormat="1" applyFont="1" applyFill="1" applyBorder="1" applyAlignment="1">
      <alignment horizontal="right" vertical="center"/>
    </xf>
    <xf numFmtId="0" fontId="7" fillId="6" borderId="12" xfId="0" applyFont="1" applyFill="1" applyBorder="1" applyAlignment="1">
      <alignment horizontal="center" vertical="center" wrapText="1"/>
    </xf>
    <xf numFmtId="4" fontId="7" fillId="6" borderId="10" xfId="0" applyNumberFormat="1" applyFont="1" applyFill="1" applyBorder="1" applyAlignment="1">
      <alignment horizontal="center" vertical="center"/>
    </xf>
    <xf numFmtId="4" fontId="15" fillId="0" borderId="10" xfId="1" applyNumberFormat="1" applyFont="1" applyFill="1" applyBorder="1" applyAlignment="1">
      <alignment horizontal="center" vertical="center"/>
    </xf>
    <xf numFmtId="164" fontId="5" fillId="2" borderId="4" xfId="1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/>
    <xf numFmtId="164" fontId="0" fillId="0" borderId="0" xfId="0" applyNumberFormat="1"/>
    <xf numFmtId="0" fontId="18" fillId="0" borderId="10" xfId="0" applyFont="1" applyBorder="1" applyAlignment="1">
      <alignment horizontal="center"/>
    </xf>
    <xf numFmtId="0" fontId="0" fillId="0" borderId="10" xfId="0" applyBorder="1"/>
    <xf numFmtId="164" fontId="18" fillId="0" borderId="10" xfId="0" applyNumberFormat="1" applyFont="1" applyBorder="1"/>
    <xf numFmtId="0" fontId="2" fillId="7" borderId="15" xfId="0" applyFont="1" applyFill="1" applyBorder="1" applyAlignment="1">
      <alignment vertical="top" wrapText="1"/>
    </xf>
    <xf numFmtId="0" fontId="0" fillId="7" borderId="17" xfId="0" applyFill="1" applyBorder="1"/>
    <xf numFmtId="0" fontId="0" fillId="7" borderId="13" xfId="0" applyFill="1" applyBorder="1"/>
    <xf numFmtId="0" fontId="0" fillId="7" borderId="14" xfId="0" applyFill="1" applyBorder="1"/>
    <xf numFmtId="0" fontId="0" fillId="7" borderId="16" xfId="0" applyFill="1" applyBorder="1"/>
    <xf numFmtId="0" fontId="0" fillId="7" borderId="0" xfId="0" applyFill="1"/>
    <xf numFmtId="0" fontId="2" fillId="7" borderId="16" xfId="0" applyFont="1" applyFill="1" applyBorder="1" applyAlignment="1">
      <alignment vertical="top" wrapText="1"/>
    </xf>
    <xf numFmtId="0" fontId="2" fillId="7" borderId="17" xfId="0" applyFont="1" applyFill="1" applyBorder="1" applyAlignment="1">
      <alignment vertical="top" wrapText="1"/>
    </xf>
    <xf numFmtId="0" fontId="0" fillId="8" borderId="10" xfId="0" applyFill="1" applyBorder="1"/>
    <xf numFmtId="164" fontId="0" fillId="8" borderId="10" xfId="0" applyNumberFormat="1" applyFill="1" applyBorder="1"/>
    <xf numFmtId="0" fontId="0" fillId="8" borderId="0" xfId="0" applyFill="1"/>
    <xf numFmtId="0" fontId="0" fillId="9" borderId="10" xfId="0" applyFill="1" applyBorder="1"/>
    <xf numFmtId="164" fontId="0" fillId="9" borderId="10" xfId="0" applyNumberFormat="1" applyFill="1" applyBorder="1"/>
    <xf numFmtId="0" fontId="0" fillId="9" borderId="0" xfId="0" applyFill="1"/>
    <xf numFmtId="0" fontId="0" fillId="0" borderId="0" xfId="0" applyAlignment="1">
      <alignment vertical="top" wrapText="1"/>
    </xf>
    <xf numFmtId="0" fontId="0" fillId="0" borderId="10" xfId="0" applyBorder="1" applyAlignment="1">
      <alignment vertical="top" wrapText="1"/>
    </xf>
    <xf numFmtId="164" fontId="0" fillId="0" borderId="10" xfId="1" applyFont="1" applyBorder="1" applyAlignment="1">
      <alignment vertical="center" wrapText="1"/>
    </xf>
    <xf numFmtId="2" fontId="7" fillId="6" borderId="10" xfId="0" applyNumberFormat="1" applyFont="1" applyFill="1" applyBorder="1" applyAlignment="1">
      <alignment horizontal="right" vertical="center"/>
    </xf>
    <xf numFmtId="39" fontId="16" fillId="0" borderId="10" xfId="1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top" wrapText="1"/>
    </xf>
    <xf numFmtId="0" fontId="16" fillId="0" borderId="10" xfId="0" applyFont="1" applyBorder="1" applyAlignment="1">
      <alignment horizontal="left" vertical="top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2" fillId="3" borderId="10" xfId="0" applyFont="1" applyFill="1" applyBorder="1" applyAlignment="1">
      <alignment horizontal="left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 wrapText="1"/>
    </xf>
    <xf numFmtId="0" fontId="7" fillId="6" borderId="10" xfId="0" applyFont="1" applyFill="1" applyBorder="1" applyAlignment="1">
      <alignment vertical="top" wrapText="1"/>
    </xf>
    <xf numFmtId="0" fontId="7" fillId="6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2" fontId="15" fillId="0" borderId="10" xfId="0" applyNumberFormat="1" applyFont="1" applyBorder="1" applyAlignment="1">
      <alignment horizontal="center" vertical="center"/>
    </xf>
    <xf numFmtId="2" fontId="15" fillId="3" borderId="10" xfId="0" applyNumberFormat="1" applyFont="1" applyFill="1" applyBorder="1" applyAlignment="1">
      <alignment horizontal="center" vertical="center" wrapText="1"/>
    </xf>
    <xf numFmtId="164" fontId="15" fillId="0" borderId="10" xfId="1" applyFont="1" applyFill="1" applyBorder="1" applyAlignment="1">
      <alignment horizontal="center" vertical="center"/>
    </xf>
    <xf numFmtId="164" fontId="5" fillId="6" borderId="10" xfId="1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top" wrapText="1"/>
    </xf>
    <xf numFmtId="2" fontId="15" fillId="0" borderId="10" xfId="0" applyNumberFormat="1" applyFont="1" applyBorder="1" applyAlignment="1">
      <alignment horizontal="center" vertical="top"/>
    </xf>
    <xf numFmtId="4" fontId="15" fillId="0" borderId="10" xfId="1" applyNumberFormat="1" applyFont="1" applyFill="1" applyBorder="1" applyAlignment="1">
      <alignment horizontal="center" vertical="top"/>
    </xf>
    <xf numFmtId="2" fontId="15" fillId="3" borderId="10" xfId="0" applyNumberFormat="1" applyFont="1" applyFill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5" fillId="0" borderId="0" xfId="0" applyFont="1" applyAlignment="1">
      <alignment vertical="top"/>
    </xf>
    <xf numFmtId="2" fontId="14" fillId="3" borderId="12" xfId="0" applyNumberFormat="1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12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12" xfId="0" applyFont="1" applyFill="1" applyBorder="1" applyAlignment="1">
      <alignment horizontal="left" vertical="center" wrapText="1"/>
    </xf>
    <xf numFmtId="165" fontId="7" fillId="5" borderId="11" xfId="1" applyNumberFormat="1" applyFont="1" applyFill="1" applyBorder="1" applyAlignment="1">
      <alignment horizontal="center" vertical="center"/>
    </xf>
    <xf numFmtId="165" fontId="7" fillId="5" borderId="2" xfId="1" applyNumberFormat="1" applyFont="1" applyFill="1" applyBorder="1" applyAlignment="1">
      <alignment horizontal="center" vertical="center"/>
    </xf>
    <xf numFmtId="165" fontId="7" fillId="5" borderId="12" xfId="1" applyNumberFormat="1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top" wrapText="1"/>
    </xf>
    <xf numFmtId="0" fontId="7" fillId="6" borderId="12" xfId="0" applyFont="1" applyFill="1" applyBorder="1" applyAlignment="1">
      <alignment horizontal="center" vertical="top" wrapText="1"/>
    </xf>
    <xf numFmtId="0" fontId="7" fillId="6" borderId="2" xfId="0" applyFont="1" applyFill="1" applyBorder="1" applyAlignment="1">
      <alignment horizontal="center" vertical="top" wrapText="1"/>
    </xf>
    <xf numFmtId="0" fontId="2" fillId="7" borderId="13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4" fillId="7" borderId="18" xfId="0" applyFont="1" applyFill="1" applyBorder="1" applyAlignment="1">
      <alignment horizontal="center" vertical="top"/>
    </xf>
    <xf numFmtId="0" fontId="4" fillId="7" borderId="19" xfId="0" applyFont="1" applyFill="1" applyBorder="1" applyAlignment="1">
      <alignment horizontal="center" vertical="top"/>
    </xf>
    <xf numFmtId="0" fontId="2" fillId="7" borderId="0" xfId="0" applyFont="1" applyFill="1" applyAlignment="1">
      <alignment horizontal="center"/>
    </xf>
    <xf numFmtId="0" fontId="4" fillId="7" borderId="1" xfId="0" applyFont="1" applyFill="1" applyBorder="1" applyAlignment="1">
      <alignment horizontal="center" vertical="top"/>
    </xf>
    <xf numFmtId="14" fontId="2" fillId="7" borderId="13" xfId="0" applyNumberFormat="1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left" vertical="top" wrapText="1"/>
    </xf>
    <xf numFmtId="0" fontId="7" fillId="6" borderId="2" xfId="0" applyFont="1" applyFill="1" applyBorder="1" applyAlignment="1">
      <alignment horizontal="left" vertical="top" wrapText="1"/>
    </xf>
    <xf numFmtId="0" fontId="7" fillId="6" borderId="12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top" wrapText="1" indent="28"/>
    </xf>
    <xf numFmtId="0" fontId="18" fillId="0" borderId="0" xfId="0" applyFont="1" applyAlignment="1">
      <alignment horizontal="center"/>
    </xf>
    <xf numFmtId="0" fontId="4" fillId="3" borderId="11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left" vertical="center" wrapText="1"/>
    </xf>
    <xf numFmtId="164" fontId="4" fillId="3" borderId="11" xfId="1" applyFont="1" applyFill="1" applyBorder="1" applyAlignment="1">
      <alignment horizontal="center" vertical="center" wrapText="1"/>
    </xf>
    <xf numFmtId="164" fontId="4" fillId="3" borderId="12" xfId="1" applyFont="1" applyFill="1" applyBorder="1" applyAlignment="1">
      <alignment horizontal="center" vertical="center" wrapText="1"/>
    </xf>
    <xf numFmtId="164" fontId="4" fillId="3" borderId="2" xfId="1" applyFont="1" applyFill="1" applyBorder="1" applyAlignment="1">
      <alignment horizontal="center" vertical="center" wrapText="1"/>
    </xf>
  </cellXfs>
  <cellStyles count="6">
    <cellStyle name="Comma" xfId="1" builtinId="3"/>
    <cellStyle name="Comma 2 2" xfId="3" xr:uid="{00000000-0005-0000-0000-000001000000}"/>
    <cellStyle name="Normal" xfId="0" builtinId="0"/>
    <cellStyle name="Normal 18" xfId="4" xr:uid="{00000000-0005-0000-0000-000003000000}"/>
    <cellStyle name="Normal 2 4" xfId="5" xr:uid="{00000000-0005-0000-0000-000004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AQ228"/>
  <sheetViews>
    <sheetView tabSelected="1" view="pageBreakPreview" zoomScale="70" zoomScaleNormal="70" zoomScaleSheetLayoutView="70" zoomScalePageLayoutView="70" workbookViewId="0">
      <selection activeCell="E31" sqref="E31"/>
    </sheetView>
  </sheetViews>
  <sheetFormatPr defaultRowHeight="15.75"/>
  <cols>
    <col min="1" max="1" width="32.140625" style="4" customWidth="1"/>
    <col min="2" max="2" width="19.140625" style="6" customWidth="1"/>
    <col min="3" max="3" width="19.85546875" style="6" customWidth="1"/>
    <col min="4" max="4" width="19" style="6" customWidth="1"/>
    <col min="5" max="5" width="27.7109375" style="6" customWidth="1"/>
    <col min="6" max="6" width="20.28515625" style="22" customWidth="1"/>
    <col min="7" max="8" width="20.28515625" style="2" customWidth="1"/>
    <col min="9" max="9" width="28.28515625" style="2" customWidth="1"/>
    <col min="10" max="10" width="15.5703125" style="1" customWidth="1"/>
    <col min="11" max="24" width="9.140625" style="2"/>
    <col min="25" max="25" width="10.140625" style="2" customWidth="1"/>
    <col min="26" max="16384" width="9.140625" style="2"/>
  </cols>
  <sheetData>
    <row r="1" spans="1:10">
      <c r="A1" s="121" t="s">
        <v>0</v>
      </c>
      <c r="B1" s="121"/>
      <c r="C1" s="121"/>
      <c r="D1" s="121"/>
      <c r="E1" s="121"/>
      <c r="F1" s="121"/>
      <c r="G1" s="121"/>
      <c r="H1" s="121"/>
      <c r="I1" s="121"/>
    </row>
    <row r="2" spans="1:10">
      <c r="A2" s="121" t="s">
        <v>108</v>
      </c>
      <c r="B2" s="121"/>
      <c r="C2" s="121"/>
      <c r="D2" s="121"/>
      <c r="E2" s="121"/>
      <c r="F2" s="121"/>
      <c r="G2" s="121"/>
      <c r="H2" s="121"/>
      <c r="I2" s="121"/>
    </row>
    <row r="3" spans="1:10">
      <c r="A3" s="121"/>
      <c r="B3" s="121"/>
      <c r="C3" s="121"/>
      <c r="D3" s="121"/>
      <c r="E3" s="121"/>
      <c r="F3" s="121"/>
      <c r="G3" s="121"/>
      <c r="H3" s="121"/>
      <c r="I3" s="3" t="s">
        <v>59</v>
      </c>
    </row>
    <row r="4" spans="1:10">
      <c r="A4" s="4" t="s">
        <v>1</v>
      </c>
      <c r="B4" s="5" t="s">
        <v>2</v>
      </c>
      <c r="C4" s="133"/>
      <c r="D4" s="133"/>
      <c r="E4" s="133"/>
      <c r="F4" s="133"/>
      <c r="G4" s="3" t="s">
        <v>3</v>
      </c>
      <c r="H4" s="8"/>
      <c r="J4" s="9"/>
    </row>
    <row r="5" spans="1:10">
      <c r="A5" s="4" t="s">
        <v>4</v>
      </c>
      <c r="B5" s="10" t="s">
        <v>5</v>
      </c>
      <c r="F5" s="7"/>
      <c r="G5" s="3" t="s">
        <v>6</v>
      </c>
      <c r="H5" s="8"/>
      <c r="I5" s="11"/>
    </row>
    <row r="6" spans="1:10">
      <c r="A6" s="4" t="s">
        <v>7</v>
      </c>
      <c r="B6" s="5" t="s">
        <v>8</v>
      </c>
      <c r="F6" s="7"/>
      <c r="H6" s="12"/>
    </row>
    <row r="7" spans="1:10">
      <c r="F7" s="7"/>
    </row>
    <row r="8" spans="1:10" ht="20.25" customHeight="1">
      <c r="A8" s="122" t="s">
        <v>9</v>
      </c>
      <c r="B8" s="124" t="s">
        <v>10</v>
      </c>
      <c r="C8" s="124" t="s">
        <v>11</v>
      </c>
      <c r="D8" s="126" t="s">
        <v>12</v>
      </c>
      <c r="E8" s="126" t="s">
        <v>13</v>
      </c>
      <c r="F8" s="128" t="s">
        <v>14</v>
      </c>
      <c r="G8" s="129"/>
      <c r="H8" s="130"/>
      <c r="I8" s="131" t="s">
        <v>86</v>
      </c>
    </row>
    <row r="9" spans="1:10" ht="80.25" customHeight="1">
      <c r="A9" s="123"/>
      <c r="B9" s="125"/>
      <c r="C9" s="125"/>
      <c r="D9" s="127"/>
      <c r="E9" s="127"/>
      <c r="F9" s="40" t="s">
        <v>16</v>
      </c>
      <c r="G9" s="13" t="s">
        <v>17</v>
      </c>
      <c r="H9" s="13" t="s">
        <v>18</v>
      </c>
      <c r="I9" s="132"/>
    </row>
    <row r="10" spans="1:10">
      <c r="A10" s="90" t="s">
        <v>19</v>
      </c>
      <c r="B10" s="91"/>
      <c r="C10" s="91"/>
      <c r="D10" s="91"/>
      <c r="E10" s="91"/>
      <c r="F10" s="91"/>
      <c r="G10" s="91"/>
      <c r="H10" s="91"/>
      <c r="I10" s="92"/>
    </row>
    <row r="11" spans="1:10" s="24" customFormat="1" ht="27.75" customHeight="1">
      <c r="A11" s="27"/>
      <c r="B11" s="27"/>
      <c r="C11" s="27"/>
      <c r="D11" s="27"/>
      <c r="E11" s="29" t="s">
        <v>109</v>
      </c>
      <c r="F11" s="28"/>
      <c r="G11" s="39"/>
      <c r="H11" s="28"/>
      <c r="I11" s="26"/>
      <c r="J11" s="23"/>
    </row>
    <row r="12" spans="1:10" s="24" customFormat="1" ht="24.95" customHeight="1">
      <c r="A12" s="27"/>
      <c r="B12" s="27"/>
      <c r="C12" s="27"/>
      <c r="D12" s="27"/>
      <c r="E12" s="29"/>
      <c r="F12" s="28"/>
      <c r="G12" s="39"/>
      <c r="H12" s="28"/>
      <c r="I12" s="89"/>
      <c r="J12" s="23"/>
    </row>
    <row r="13" spans="1:10" s="24" customFormat="1" ht="24.95" customHeight="1">
      <c r="A13" s="27"/>
      <c r="B13" s="27"/>
      <c r="C13" s="27"/>
      <c r="D13" s="27"/>
      <c r="E13" s="29"/>
      <c r="F13" s="28"/>
      <c r="G13" s="39"/>
      <c r="H13" s="28"/>
      <c r="I13" s="89"/>
      <c r="J13" s="23"/>
    </row>
    <row r="14" spans="1:10" s="24" customFormat="1" ht="24.95" customHeight="1">
      <c r="A14" s="27"/>
      <c r="B14" s="27"/>
      <c r="C14" s="27"/>
      <c r="D14" s="27"/>
      <c r="E14" s="29"/>
      <c r="F14" s="28"/>
      <c r="G14" s="39"/>
      <c r="H14" s="28"/>
      <c r="I14" s="89"/>
      <c r="J14" s="23"/>
    </row>
    <row r="15" spans="1:10" ht="19.5" customHeight="1">
      <c r="A15" s="118" t="s">
        <v>20</v>
      </c>
      <c r="B15" s="119"/>
      <c r="C15" s="119"/>
      <c r="D15" s="119"/>
      <c r="E15" s="120"/>
      <c r="F15" s="30"/>
      <c r="G15" s="38">
        <f>SUM(G11:G11)</f>
        <v>0</v>
      </c>
      <c r="H15" s="30"/>
      <c r="I15" s="31"/>
    </row>
    <row r="16" spans="1:10">
      <c r="A16" s="90" t="s">
        <v>21</v>
      </c>
      <c r="B16" s="91"/>
      <c r="C16" s="91"/>
      <c r="D16" s="91"/>
      <c r="E16" s="91"/>
      <c r="F16" s="91"/>
      <c r="G16" s="91"/>
      <c r="H16" s="91"/>
      <c r="I16" s="92"/>
    </row>
    <row r="17" spans="1:10" s="25" customFormat="1" ht="28.5">
      <c r="A17" s="72"/>
      <c r="B17" s="72"/>
      <c r="C17" s="73"/>
      <c r="D17" s="72"/>
      <c r="E17" s="29" t="s">
        <v>109</v>
      </c>
      <c r="F17" s="32"/>
      <c r="G17" s="66"/>
      <c r="H17" s="32"/>
      <c r="I17" s="41"/>
    </row>
    <row r="18" spans="1:10" s="25" customFormat="1" ht="24.95" customHeight="1">
      <c r="A18" s="72"/>
      <c r="B18" s="72"/>
      <c r="C18" s="73"/>
      <c r="D18" s="72"/>
      <c r="E18" s="74"/>
      <c r="F18" s="32"/>
      <c r="G18" s="66"/>
      <c r="H18" s="32"/>
      <c r="I18" s="41"/>
    </row>
    <row r="19" spans="1:10" s="25" customFormat="1" ht="24.95" customHeight="1">
      <c r="A19" s="72"/>
      <c r="B19" s="72"/>
      <c r="C19" s="73"/>
      <c r="D19" s="72"/>
      <c r="E19" s="74"/>
      <c r="F19" s="32"/>
      <c r="G19" s="66"/>
      <c r="H19" s="32"/>
      <c r="I19" s="41"/>
    </row>
    <row r="20" spans="1:10" s="25" customFormat="1" ht="24.95" customHeight="1">
      <c r="A20" s="72"/>
      <c r="B20" s="72"/>
      <c r="C20" s="73"/>
      <c r="D20" s="72"/>
      <c r="E20" s="74"/>
      <c r="F20" s="32"/>
      <c r="G20" s="66"/>
      <c r="H20" s="32"/>
      <c r="I20" s="41"/>
    </row>
    <row r="21" spans="1:10" s="25" customFormat="1" ht="24.95" customHeight="1">
      <c r="A21" s="72"/>
      <c r="B21" s="72"/>
      <c r="C21" s="73"/>
      <c r="D21" s="72"/>
      <c r="E21" s="74"/>
      <c r="F21" s="32"/>
      <c r="G21" s="66"/>
      <c r="H21" s="32"/>
      <c r="I21" s="41"/>
    </row>
    <row r="22" spans="1:10">
      <c r="A22" s="90" t="s">
        <v>80</v>
      </c>
      <c r="B22" s="91"/>
      <c r="C22" s="91"/>
      <c r="D22" s="91"/>
      <c r="E22" s="91"/>
      <c r="F22" s="91"/>
      <c r="G22" s="91"/>
      <c r="H22" s="91"/>
      <c r="I22" s="92"/>
    </row>
    <row r="23" spans="1:10" s="70" customFormat="1" ht="48.75" customHeight="1">
      <c r="A23" s="93" t="s">
        <v>81</v>
      </c>
      <c r="B23" s="94"/>
      <c r="C23" s="77" t="s">
        <v>82</v>
      </c>
      <c r="D23" s="93" t="s">
        <v>83</v>
      </c>
      <c r="E23" s="94"/>
      <c r="F23" s="93" t="s">
        <v>84</v>
      </c>
      <c r="G23" s="95"/>
      <c r="H23" s="94"/>
      <c r="I23" s="77" t="s">
        <v>85</v>
      </c>
      <c r="J23" s="69"/>
    </row>
    <row r="24" spans="1:10" s="70" customFormat="1" ht="24.95" customHeight="1">
      <c r="A24" s="71"/>
      <c r="B24" s="71"/>
      <c r="C24" s="71"/>
      <c r="D24" s="93"/>
      <c r="E24" s="94"/>
      <c r="F24" s="93"/>
      <c r="G24" s="95"/>
      <c r="H24" s="94"/>
      <c r="I24" s="71"/>
      <c r="J24" s="69"/>
    </row>
    <row r="25" spans="1:10" s="43" customFormat="1" ht="19.5" customHeight="1">
      <c r="A25" s="75" t="s">
        <v>22</v>
      </c>
      <c r="B25" s="75"/>
      <c r="C25" s="75"/>
      <c r="D25" s="102"/>
      <c r="E25" s="103"/>
      <c r="F25" s="102"/>
      <c r="G25" s="104"/>
      <c r="H25" s="103"/>
      <c r="I25" s="76"/>
      <c r="J25" s="42"/>
    </row>
    <row r="26" spans="1:10">
      <c r="A26" s="96" t="s">
        <v>24</v>
      </c>
      <c r="B26" s="97"/>
      <c r="C26" s="97"/>
      <c r="D26" s="97"/>
      <c r="E26" s="98"/>
      <c r="F26" s="99">
        <f>SUM(G15,G25)</f>
        <v>0</v>
      </c>
      <c r="G26" s="100"/>
      <c r="H26" s="100"/>
      <c r="I26" s="101"/>
    </row>
    <row r="27" spans="1:10" ht="15.75" customHeight="1">
      <c r="A27" s="48" t="s">
        <v>56</v>
      </c>
      <c r="B27" s="49"/>
      <c r="C27" s="48" t="s">
        <v>25</v>
      </c>
      <c r="D27" s="52"/>
      <c r="E27" s="49"/>
      <c r="F27" s="48" t="s">
        <v>23</v>
      </c>
      <c r="G27" s="54"/>
      <c r="H27" s="54"/>
      <c r="I27" s="55"/>
    </row>
    <row r="28" spans="1:10">
      <c r="A28" s="50"/>
      <c r="B28" s="51"/>
      <c r="C28" s="50"/>
      <c r="D28" s="53"/>
      <c r="E28" s="51"/>
      <c r="F28" s="111"/>
      <c r="G28" s="112"/>
      <c r="H28" s="112"/>
      <c r="I28" s="113"/>
    </row>
    <row r="29" spans="1:10">
      <c r="A29" s="105"/>
      <c r="B29" s="106"/>
      <c r="C29" s="105"/>
      <c r="D29" s="109"/>
      <c r="E29" s="106"/>
      <c r="F29" s="114"/>
      <c r="G29" s="112"/>
      <c r="H29" s="112"/>
      <c r="I29" s="113"/>
    </row>
    <row r="30" spans="1:10" ht="17.25" customHeight="1">
      <c r="A30" s="107"/>
      <c r="B30" s="108"/>
      <c r="C30" s="107"/>
      <c r="D30" s="110"/>
      <c r="E30" s="108"/>
      <c r="F30" s="115"/>
      <c r="G30" s="116"/>
      <c r="H30" s="116"/>
      <c r="I30" s="117"/>
    </row>
    <row r="31" spans="1:10" ht="102.75" customHeight="1">
      <c r="A31" s="2"/>
      <c r="B31" s="2"/>
      <c r="C31" s="2"/>
      <c r="D31" s="2"/>
      <c r="E31" s="2"/>
      <c r="F31" s="2"/>
      <c r="J31" s="2"/>
    </row>
    <row r="32" spans="1:10" ht="117.75" customHeight="1">
      <c r="A32" s="2"/>
      <c r="B32" s="2"/>
      <c r="C32" s="2"/>
      <c r="D32" s="2"/>
      <c r="E32" s="2"/>
      <c r="F32" s="2"/>
      <c r="J32" s="2"/>
    </row>
    <row r="33" spans="1:43" ht="101.25" customHeight="1">
      <c r="A33" s="2"/>
      <c r="B33" s="2"/>
      <c r="C33" s="2"/>
      <c r="D33" s="2"/>
      <c r="E33" s="2"/>
      <c r="F33" s="2"/>
      <c r="J33" s="2"/>
    </row>
    <row r="34" spans="1:43" ht="245.25" customHeight="1">
      <c r="A34" s="2"/>
      <c r="B34" s="2"/>
      <c r="C34" s="2"/>
      <c r="D34" s="2"/>
      <c r="E34" s="2"/>
      <c r="F34" s="2"/>
      <c r="J34" s="2"/>
    </row>
    <row r="35" spans="1:43" ht="137.25" customHeight="1">
      <c r="A35" s="2"/>
      <c r="B35" s="2"/>
      <c r="C35" s="2"/>
      <c r="D35" s="2"/>
      <c r="E35" s="2"/>
      <c r="F35" s="2"/>
      <c r="J35" s="2"/>
    </row>
    <row r="36" spans="1:43" ht="205.5" customHeight="1">
      <c r="A36" s="2"/>
      <c r="B36" s="2"/>
      <c r="C36" s="2"/>
      <c r="D36" s="2"/>
      <c r="E36" s="2"/>
      <c r="F36" s="2"/>
      <c r="J36" s="2"/>
    </row>
    <row r="37" spans="1:43" ht="136.5" customHeight="1">
      <c r="A37" s="2"/>
      <c r="B37" s="2"/>
      <c r="C37" s="2"/>
      <c r="D37" s="2"/>
      <c r="E37" s="2"/>
      <c r="F37" s="2"/>
      <c r="J37" s="2"/>
    </row>
    <row r="38" spans="1:43" ht="223.5" customHeight="1">
      <c r="A38" s="2"/>
      <c r="B38" s="2"/>
      <c r="C38" s="2"/>
      <c r="D38" s="2"/>
      <c r="E38" s="2"/>
      <c r="F38" s="2"/>
      <c r="J38" s="2"/>
    </row>
    <row r="39" spans="1:43" ht="50.25" customHeight="1">
      <c r="A39" s="2"/>
      <c r="B39" s="2"/>
      <c r="C39" s="2"/>
      <c r="D39" s="2"/>
      <c r="E39" s="2"/>
      <c r="F39" s="2"/>
      <c r="J39" s="2"/>
    </row>
    <row r="40" spans="1:43" ht="153" customHeight="1">
      <c r="A40" s="2"/>
      <c r="B40" s="2"/>
      <c r="C40" s="2"/>
      <c r="D40" s="2"/>
      <c r="E40" s="2"/>
      <c r="F40" s="2"/>
      <c r="J40" s="2"/>
    </row>
    <row r="41" spans="1:43" s="1" customFormat="1" ht="245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spans="1:43" s="1" customFormat="1" ht="121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spans="1:43" s="1" customFormat="1" ht="13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spans="1:43" s="1" customFormat="1" ht="258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spans="1:43" s="1" customFormat="1" ht="117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1:43" s="1" customFormat="1" ht="11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1:43" s="1" customFormat="1" ht="13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1:43" s="1" customFormat="1" ht="130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1:43" s="1" customFormat="1" ht="173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spans="1:43" s="1" customFormat="1" ht="279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spans="1:43" s="1" customFormat="1" ht="168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spans="1:43" s="1" customFormat="1" ht="13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spans="1:43" s="1" customFormat="1" ht="11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spans="1:43" s="1" customFormat="1" ht="153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spans="1:43" s="1" customFormat="1" ht="16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spans="1:43" s="1" customFormat="1" ht="13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spans="1:43">
      <c r="A57" s="2"/>
      <c r="B57" s="2"/>
      <c r="C57" s="2"/>
      <c r="D57" s="2"/>
      <c r="E57" s="2"/>
      <c r="F57" s="2"/>
      <c r="J57" s="2"/>
    </row>
    <row r="58" spans="1:43" ht="86.25" customHeight="1">
      <c r="A58" s="2"/>
      <c r="B58" s="2"/>
      <c r="C58" s="2"/>
      <c r="D58" s="2"/>
      <c r="E58" s="2"/>
      <c r="F58" s="2"/>
      <c r="J58" s="2"/>
    </row>
    <row r="59" spans="1:43" ht="129.75" customHeight="1">
      <c r="A59" s="2"/>
      <c r="B59" s="2"/>
      <c r="C59" s="2"/>
      <c r="D59" s="2"/>
      <c r="E59" s="2"/>
      <c r="F59" s="2"/>
      <c r="J59" s="2"/>
    </row>
    <row r="60" spans="1:43" ht="102" customHeight="1">
      <c r="A60" s="2"/>
      <c r="B60" s="2"/>
      <c r="C60" s="2"/>
      <c r="D60" s="2"/>
      <c r="E60" s="2"/>
      <c r="F60" s="2"/>
      <c r="J60" s="2"/>
    </row>
    <row r="61" spans="1:43" s="16" customFormat="1" ht="213" customHeight="1"/>
    <row r="62" spans="1:43" s="16" customFormat="1" ht="101.25" customHeight="1"/>
    <row r="63" spans="1:43" s="17" customFormat="1" ht="34.5" customHeight="1"/>
    <row r="64" spans="1:43" s="14" customFormat="1" ht="158.25" customHeight="1"/>
    <row r="65" s="2" customFormat="1" ht="119.25" customHeight="1"/>
    <row r="66" s="2" customFormat="1"/>
    <row r="67" s="2" customFormat="1" ht="68.25" customHeight="1"/>
    <row r="68" s="14" customFormat="1" ht="93.75" customHeight="1"/>
    <row r="69" s="2" customFormat="1" ht="99.75" customHeight="1"/>
    <row r="70" s="14" customFormat="1" ht="62.25" customHeight="1"/>
    <row r="71" s="2" customFormat="1" ht="19.5" customHeight="1"/>
    <row r="72" s="2" customFormat="1" ht="182.25" customHeight="1"/>
    <row r="73" s="2" customFormat="1" ht="197.25" customHeight="1"/>
    <row r="74" s="2" customFormat="1" ht="196.5" customHeight="1"/>
    <row r="75" s="2" customFormat="1" ht="133.5" customHeight="1"/>
    <row r="76" s="2" customFormat="1" ht="18.75" customHeight="1"/>
    <row r="77" s="2" customFormat="1" ht="163.5" customHeight="1"/>
    <row r="78" s="2" customFormat="1"/>
    <row r="79" s="2" customFormat="1" ht="140.25" customHeight="1"/>
    <row r="80" s="2" customFormat="1" ht="228.75" customHeight="1"/>
    <row r="81" s="2" customFormat="1" ht="15.75" customHeight="1"/>
    <row r="82" s="2" customFormat="1" ht="356.25" customHeight="1"/>
    <row r="83" s="2" customFormat="1" ht="94.5" customHeight="1"/>
    <row r="84" s="2" customFormat="1" ht="15.75" customHeight="1"/>
    <row r="85" s="2" customFormat="1" ht="198.75" customHeight="1"/>
    <row r="86" s="2" customFormat="1" ht="144.75" customHeight="1"/>
    <row r="87" s="2" customFormat="1" ht="133.5" customHeight="1"/>
    <row r="88" s="2" customFormat="1" ht="146.25" customHeight="1"/>
    <row r="89" s="2" customFormat="1" ht="16.5" customHeight="1"/>
    <row r="90" s="2" customFormat="1" ht="99.75" customHeight="1"/>
    <row r="91" s="2" customFormat="1" ht="165" customHeight="1"/>
    <row r="92" s="2" customFormat="1"/>
    <row r="93" s="2" customFormat="1" ht="216" customHeight="1"/>
    <row r="94" s="2" customFormat="1" ht="357" customHeight="1"/>
    <row r="95" s="2" customFormat="1" ht="384" customHeight="1"/>
    <row r="96" s="2" customFormat="1" ht="196.5" customHeight="1"/>
    <row r="97" s="2" customFormat="1" ht="149.25" customHeight="1"/>
    <row r="98" s="2" customFormat="1" ht="258.75" customHeight="1"/>
    <row r="99" s="2" customFormat="1" ht="19.5" customHeight="1"/>
    <row r="100" s="2" customFormat="1" ht="260.25" customHeight="1"/>
    <row r="101" s="2" customFormat="1" ht="21" customHeight="1"/>
    <row r="102" s="2" customFormat="1" ht="206.25" customHeight="1"/>
    <row r="103" s="2" customFormat="1" ht="21" customHeight="1"/>
    <row r="104" s="2" customFormat="1" ht="45" customHeight="1"/>
    <row r="105" s="17" customFormat="1" ht="135.75" customHeight="1"/>
    <row r="106" s="2" customFormat="1" ht="18" customHeight="1"/>
    <row r="107" s="2" customFormat="1" ht="74.25" customHeight="1"/>
    <row r="108" s="2" customFormat="1" ht="203.25" customHeight="1"/>
    <row r="109" s="2" customFormat="1" ht="149.25" customHeight="1"/>
    <row r="110" s="2" customFormat="1" ht="194.25" customHeight="1"/>
    <row r="111" s="2" customFormat="1" ht="155.25" customHeight="1"/>
    <row r="112" s="2" customFormat="1" ht="179.25" customHeight="1"/>
    <row r="113" s="2" customFormat="1" ht="186.75" customHeight="1"/>
    <row r="114" s="2" customFormat="1" ht="342.75" customHeight="1"/>
    <row r="115" s="2" customFormat="1" ht="203.25" customHeight="1"/>
    <row r="116" s="2" customFormat="1" ht="180.75" customHeight="1"/>
    <row r="117" s="2" customFormat="1" ht="221.25" customHeight="1"/>
    <row r="118" s="2" customFormat="1" ht="322.5" customHeight="1"/>
    <row r="119" s="17" customFormat="1" ht="34.5" customHeight="1"/>
    <row r="120" s="14" customFormat="1" ht="158.25" customHeight="1"/>
    <row r="121" s="2" customFormat="1" ht="94.5" customHeight="1"/>
    <row r="122" s="2" customFormat="1"/>
    <row r="123" s="2" customFormat="1" ht="230.25" customHeight="1"/>
    <row r="124" s="2" customFormat="1" ht="118.5" customHeight="1"/>
    <row r="125" s="2" customFormat="1"/>
    <row r="126" s="2" customFormat="1"/>
    <row r="127" s="2" customFormat="1" ht="169.5" customHeight="1"/>
    <row r="128" s="2" customFormat="1" ht="162" customHeight="1"/>
    <row r="129" s="2" customFormat="1" ht="197.25" customHeight="1"/>
    <row r="130" s="2" customFormat="1" ht="322.5" customHeight="1"/>
    <row r="131" s="2" customFormat="1" ht="172.5" customHeight="1"/>
    <row r="132" s="2" customFormat="1" ht="136.5" customHeight="1"/>
    <row r="133" s="2" customFormat="1" ht="131.25" customHeight="1"/>
    <row r="134" s="2" customFormat="1" ht="138" customHeight="1"/>
    <row r="135" s="2" customFormat="1" ht="162.75" customHeight="1"/>
    <row r="136" s="2" customFormat="1" ht="159.75" customHeight="1"/>
    <row r="137" s="2" customFormat="1" ht="175.5" customHeight="1"/>
    <row r="138" s="2" customFormat="1" ht="100.5" customHeight="1"/>
    <row r="139" s="2" customFormat="1" ht="138" customHeight="1"/>
    <row r="140" s="2" customFormat="1" ht="94.5" customHeight="1"/>
    <row r="141" s="2" customFormat="1" ht="15.75" customHeight="1"/>
    <row r="142" s="2" customFormat="1" ht="126" customHeight="1"/>
    <row r="143" s="2" customFormat="1" ht="153" customHeight="1"/>
    <row r="144" s="2" customFormat="1" ht="105.75" customHeight="1"/>
    <row r="145" s="2" customFormat="1" ht="93.75" customHeight="1"/>
    <row r="146" s="2" customFormat="1" ht="15.75" customHeight="1"/>
    <row r="147" s="18" customFormat="1"/>
    <row r="148" s="19" customFormat="1"/>
    <row r="149" s="19" customFormat="1" ht="291.75" customHeight="1"/>
    <row r="150" s="19" customFormat="1" ht="15.75" customHeight="1"/>
    <row r="151" s="19" customFormat="1" ht="119.25" customHeight="1"/>
    <row r="152" s="18" customFormat="1"/>
    <row r="153" s="18" customFormat="1"/>
    <row r="154" s="18" customFormat="1"/>
    <row r="155" s="18" customFormat="1"/>
    <row r="156" s="18" customFormat="1"/>
    <row r="157" s="18" customFormat="1"/>
    <row r="158" s="18" customFormat="1" ht="137.25" customHeight="1"/>
    <row r="159" s="17" customFormat="1" ht="34.5" customHeight="1"/>
    <row r="160" s="14" customFormat="1" ht="158.25" customHeight="1"/>
    <row r="161" s="2" customFormat="1" ht="19.5" customHeight="1"/>
    <row r="162" s="2" customFormat="1"/>
    <row r="163" s="2" customFormat="1"/>
    <row r="164" s="20" customFormat="1" ht="47.25" customHeight="1"/>
    <row r="165" s="21" customFormat="1" ht="158.25" customHeight="1"/>
    <row r="166" s="2" customFormat="1"/>
    <row r="167" s="2" customFormat="1" ht="215.25" customHeight="1"/>
    <row r="168" s="2" customFormat="1" ht="15.75" customHeight="1"/>
    <row r="169" s="2" customFormat="1" ht="168.75" customHeight="1"/>
    <row r="170" s="2" customFormat="1" ht="180.75" customHeight="1"/>
    <row r="171" s="2" customFormat="1"/>
    <row r="172" s="2" customFormat="1" ht="162.75" customHeight="1"/>
    <row r="173" s="2" customFormat="1" ht="183.75" customHeight="1"/>
    <row r="174" s="16" customFormat="1"/>
    <row r="175" s="2" customFormat="1" ht="168.75" customHeight="1"/>
    <row r="176" s="2" customFormat="1" ht="232.5" customHeight="1"/>
    <row r="177" s="2" customFormat="1" ht="15.75" customHeight="1"/>
    <row r="178" s="2" customFormat="1" ht="103.5" customHeight="1"/>
    <row r="179" s="2" customFormat="1" ht="120" customHeight="1"/>
    <row r="180" s="2" customFormat="1" ht="117" customHeight="1"/>
    <row r="181" s="2" customFormat="1"/>
    <row r="182" s="2" customFormat="1" ht="212.25" customHeight="1"/>
    <row r="183" s="2" customFormat="1" ht="180.75" customHeight="1"/>
    <row r="184" s="2" customFormat="1"/>
    <row r="185" s="18" customFormat="1"/>
    <row r="186" s="18" customFormat="1"/>
    <row r="187" s="18" customFormat="1"/>
    <row r="188" s="18" customFormat="1"/>
    <row r="189" s="18" customFormat="1"/>
    <row r="190" s="18" customFormat="1" ht="47.25" customHeight="1"/>
    <row r="191" s="18" customFormat="1" ht="93.75" customHeight="1"/>
    <row r="192" s="18" customFormat="1"/>
    <row r="193" s="18" customFormat="1"/>
    <row r="194" s="18" customFormat="1"/>
    <row r="195" s="18" customFormat="1"/>
    <row r="196" s="18" customFormat="1"/>
    <row r="197" s="18" customFormat="1"/>
    <row r="198" s="18" customFormat="1"/>
    <row r="199" s="18" customFormat="1"/>
    <row r="200" s="18" customFormat="1"/>
    <row r="201" s="18" customFormat="1"/>
    <row r="202" s="18" customFormat="1"/>
    <row r="203" s="15" customFormat="1" ht="19.5" customHeight="1"/>
    <row r="204" s="2" customFormat="1"/>
    <row r="205" s="2" customFormat="1" ht="90" customHeight="1"/>
    <row r="206" s="2" customFormat="1" ht="36.75" customHeight="1"/>
    <row r="207" s="2" customFormat="1" ht="38.25" customHeight="1"/>
    <row r="208" s="2" customFormat="1" ht="36" customHeight="1"/>
    <row r="209" s="2" customFormat="1" ht="42.75" customHeight="1"/>
    <row r="210" s="2" customFormat="1" ht="36" customHeight="1"/>
    <row r="211" s="2" customFormat="1" ht="36" customHeigh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 ht="15.75" customHeight="1"/>
    <row r="220" s="2" customFormat="1"/>
    <row r="221" s="2" customFormat="1"/>
    <row r="222" s="2" customFormat="1" ht="24" customHeight="1"/>
    <row r="223" s="2" customFormat="1"/>
    <row r="224" s="2" customFormat="1"/>
    <row r="225" s="2" customFormat="1"/>
    <row r="226" s="2" customFormat="1"/>
    <row r="227" s="2" customFormat="1"/>
    <row r="228" s="2" customFormat="1"/>
  </sheetData>
  <mergeCells count="29">
    <mergeCell ref="A10:I10"/>
    <mergeCell ref="A15:E15"/>
    <mergeCell ref="A16:I16"/>
    <mergeCell ref="A1:I1"/>
    <mergeCell ref="A2:I2"/>
    <mergeCell ref="A3:H3"/>
    <mergeCell ref="A8:A9"/>
    <mergeCell ref="B8:B9"/>
    <mergeCell ref="C8:C9"/>
    <mergeCell ref="D8:D9"/>
    <mergeCell ref="E8:E9"/>
    <mergeCell ref="F8:H8"/>
    <mergeCell ref="I8:I9"/>
    <mergeCell ref="C4:F4"/>
    <mergeCell ref="A29:B29"/>
    <mergeCell ref="A30:B30"/>
    <mergeCell ref="C29:E29"/>
    <mergeCell ref="C30:E30"/>
    <mergeCell ref="F28:I30"/>
    <mergeCell ref="A22:I22"/>
    <mergeCell ref="A23:B23"/>
    <mergeCell ref="D23:E23"/>
    <mergeCell ref="F23:H23"/>
    <mergeCell ref="A26:E26"/>
    <mergeCell ref="F26:I26"/>
    <mergeCell ref="D25:E25"/>
    <mergeCell ref="D24:E24"/>
    <mergeCell ref="F24:H24"/>
    <mergeCell ref="F25:H25"/>
  </mergeCells>
  <pageMargins left="0.35" right="0.16" top="0.75" bottom="0.51" header="0.3" footer="0.3"/>
  <pageSetup paperSize="14" scale="76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zoomScale="85" zoomScaleNormal="85" workbookViewId="0">
      <selection activeCell="F28" sqref="F28:I30"/>
    </sheetView>
  </sheetViews>
  <sheetFormatPr defaultRowHeight="15"/>
  <cols>
    <col min="2" max="2" width="24.28515625" bestFit="1" customWidth="1"/>
    <col min="3" max="3" width="13.7109375" style="44" bestFit="1" customWidth="1"/>
    <col min="4" max="4" width="11.7109375" bestFit="1" customWidth="1"/>
    <col min="5" max="5" width="10.85546875" customWidth="1"/>
    <col min="6" max="6" width="12" customWidth="1"/>
  </cols>
  <sheetData>
    <row r="1" spans="1:10">
      <c r="A1" s="134" t="s">
        <v>26</v>
      </c>
      <c r="B1" s="134"/>
      <c r="C1" s="134"/>
      <c r="D1" s="134"/>
    </row>
    <row r="2" spans="1:10">
      <c r="A2" s="45" t="s">
        <v>50</v>
      </c>
      <c r="B2" s="45" t="s">
        <v>51</v>
      </c>
      <c r="C2" s="45" t="s">
        <v>52</v>
      </c>
      <c r="D2" s="45" t="s">
        <v>53</v>
      </c>
      <c r="E2" s="45" t="s">
        <v>54</v>
      </c>
      <c r="F2" s="45" t="s">
        <v>55</v>
      </c>
    </row>
    <row r="3" spans="1:10">
      <c r="A3" s="56">
        <v>1</v>
      </c>
      <c r="B3" s="56" t="s">
        <v>27</v>
      </c>
      <c r="C3" s="57">
        <v>50257</v>
      </c>
      <c r="D3" s="57">
        <f>C3*2</f>
        <v>100514</v>
      </c>
      <c r="E3" s="57">
        <f>D3/22</f>
        <v>4568.818181818182</v>
      </c>
      <c r="F3" s="57">
        <f>E3/8</f>
        <v>571.10227272727275</v>
      </c>
      <c r="I3" s="58"/>
      <c r="J3" t="s">
        <v>57</v>
      </c>
    </row>
    <row r="4" spans="1:10">
      <c r="A4" s="56">
        <v>2</v>
      </c>
      <c r="B4" s="56" t="s">
        <v>28</v>
      </c>
      <c r="C4" s="57">
        <v>38420</v>
      </c>
      <c r="D4" s="57">
        <f t="shared" ref="D4:D25" si="0">C4*2</f>
        <v>76840</v>
      </c>
      <c r="E4" s="57">
        <f t="shared" ref="E4:E25" si="1">D4/22</f>
        <v>3492.7272727272725</v>
      </c>
      <c r="F4" s="57">
        <f t="shared" ref="F4:F26" si="2">E4/8</f>
        <v>436.59090909090907</v>
      </c>
      <c r="I4" s="61"/>
      <c r="J4" t="s">
        <v>58</v>
      </c>
    </row>
    <row r="5" spans="1:10">
      <c r="A5" s="56">
        <v>3</v>
      </c>
      <c r="B5" s="56" t="s">
        <v>29</v>
      </c>
      <c r="C5" s="57">
        <v>13248.5</v>
      </c>
      <c r="D5" s="57">
        <f t="shared" si="0"/>
        <v>26497</v>
      </c>
      <c r="E5" s="57">
        <f t="shared" si="1"/>
        <v>1204.409090909091</v>
      </c>
      <c r="F5" s="57">
        <f t="shared" si="2"/>
        <v>150.55113636363637</v>
      </c>
    </row>
    <row r="6" spans="1:10">
      <c r="A6" s="56">
        <v>4</v>
      </c>
      <c r="B6" s="56" t="s">
        <v>30</v>
      </c>
      <c r="C6" s="57">
        <v>13248.5</v>
      </c>
      <c r="D6" s="57">
        <f t="shared" si="0"/>
        <v>26497</v>
      </c>
      <c r="E6" s="57">
        <f t="shared" si="1"/>
        <v>1204.409090909091</v>
      </c>
      <c r="F6" s="57">
        <f t="shared" si="2"/>
        <v>150.55113636363637</v>
      </c>
    </row>
    <row r="7" spans="1:10">
      <c r="A7" s="56">
        <v>5</v>
      </c>
      <c r="B7" s="56" t="s">
        <v>31</v>
      </c>
      <c r="C7" s="57">
        <v>12218.5</v>
      </c>
      <c r="D7" s="57">
        <f t="shared" si="0"/>
        <v>24437</v>
      </c>
      <c r="E7" s="57">
        <f t="shared" si="1"/>
        <v>1110.7727272727273</v>
      </c>
      <c r="F7" s="57">
        <f t="shared" si="2"/>
        <v>138.84659090909091</v>
      </c>
    </row>
    <row r="8" spans="1:10">
      <c r="A8" s="56">
        <v>6</v>
      </c>
      <c r="B8" s="56" t="s">
        <v>32</v>
      </c>
      <c r="C8" s="57">
        <v>13248.5</v>
      </c>
      <c r="D8" s="57">
        <f t="shared" si="0"/>
        <v>26497</v>
      </c>
      <c r="E8" s="57">
        <f t="shared" si="1"/>
        <v>1204.409090909091</v>
      </c>
      <c r="F8" s="57">
        <f t="shared" si="2"/>
        <v>150.55113636363637</v>
      </c>
    </row>
    <row r="9" spans="1:10">
      <c r="A9" s="56">
        <v>7</v>
      </c>
      <c r="B9" s="56" t="s">
        <v>33</v>
      </c>
      <c r="C9" s="57">
        <v>21710.5</v>
      </c>
      <c r="D9" s="57">
        <f t="shared" si="0"/>
        <v>43421</v>
      </c>
      <c r="E9" s="57">
        <f t="shared" si="1"/>
        <v>1973.6818181818182</v>
      </c>
      <c r="F9" s="57">
        <f t="shared" si="2"/>
        <v>246.71022727272728</v>
      </c>
    </row>
    <row r="10" spans="1:10">
      <c r="A10" s="56">
        <v>8</v>
      </c>
      <c r="B10" s="56" t="s">
        <v>34</v>
      </c>
      <c r="C10" s="57">
        <v>8699.5</v>
      </c>
      <c r="D10" s="57">
        <f t="shared" si="0"/>
        <v>17399</v>
      </c>
      <c r="E10" s="57">
        <f t="shared" si="1"/>
        <v>790.86363636363637</v>
      </c>
      <c r="F10" s="57">
        <f t="shared" si="2"/>
        <v>98.857954545454547</v>
      </c>
    </row>
    <row r="11" spans="1:10">
      <c r="A11" s="56">
        <v>9</v>
      </c>
      <c r="B11" s="56" t="s">
        <v>35</v>
      </c>
      <c r="C11" s="57">
        <v>17032.5</v>
      </c>
      <c r="D11" s="57">
        <f t="shared" si="0"/>
        <v>34065</v>
      </c>
      <c r="E11" s="57">
        <f t="shared" si="1"/>
        <v>1548.409090909091</v>
      </c>
      <c r="F11" s="57">
        <f t="shared" si="2"/>
        <v>193.55113636363637</v>
      </c>
    </row>
    <row r="12" spans="1:10">
      <c r="A12" s="56">
        <v>10</v>
      </c>
      <c r="B12" s="56" t="s">
        <v>36</v>
      </c>
      <c r="C12" s="57">
        <v>12218.5</v>
      </c>
      <c r="D12" s="57">
        <f t="shared" si="0"/>
        <v>24437</v>
      </c>
      <c r="E12" s="57">
        <f t="shared" si="1"/>
        <v>1110.7727272727273</v>
      </c>
      <c r="F12" s="57">
        <f t="shared" si="2"/>
        <v>138.84659090909091</v>
      </c>
    </row>
    <row r="13" spans="1:10">
      <c r="A13" s="56">
        <v>11</v>
      </c>
      <c r="B13" s="56" t="s">
        <v>37</v>
      </c>
      <c r="C13" s="57">
        <v>7231.5</v>
      </c>
      <c r="D13" s="57">
        <f t="shared" si="0"/>
        <v>14463</v>
      </c>
      <c r="E13" s="57">
        <f t="shared" si="1"/>
        <v>657.40909090909088</v>
      </c>
      <c r="F13" s="57">
        <f t="shared" si="2"/>
        <v>82.17613636363636</v>
      </c>
    </row>
    <row r="14" spans="1:10">
      <c r="A14" s="56">
        <v>12</v>
      </c>
      <c r="B14" s="56" t="s">
        <v>38</v>
      </c>
      <c r="C14" s="57">
        <v>6865.5</v>
      </c>
      <c r="D14" s="57">
        <f t="shared" si="0"/>
        <v>13731</v>
      </c>
      <c r="E14" s="57">
        <f t="shared" si="1"/>
        <v>624.13636363636363</v>
      </c>
      <c r="F14" s="57">
        <f t="shared" si="2"/>
        <v>78.017045454545453</v>
      </c>
    </row>
    <row r="15" spans="1:10">
      <c r="A15" s="56">
        <v>13</v>
      </c>
      <c r="B15" s="56" t="s">
        <v>39</v>
      </c>
      <c r="C15" s="57">
        <v>6368</v>
      </c>
      <c r="D15" s="57">
        <f t="shared" si="0"/>
        <v>12736</v>
      </c>
      <c r="E15" s="57">
        <f t="shared" si="1"/>
        <v>578.90909090909088</v>
      </c>
      <c r="F15" s="57">
        <f t="shared" si="2"/>
        <v>72.36363636363636</v>
      </c>
    </row>
    <row r="16" spans="1:10">
      <c r="A16" s="56">
        <v>14</v>
      </c>
      <c r="B16" s="56" t="s">
        <v>40</v>
      </c>
      <c r="C16" s="57">
        <v>7177</v>
      </c>
      <c r="D16" s="57">
        <f t="shared" si="0"/>
        <v>14354</v>
      </c>
      <c r="E16" s="57">
        <f t="shared" si="1"/>
        <v>652.4545454545455</v>
      </c>
      <c r="F16" s="57">
        <f t="shared" si="2"/>
        <v>81.556818181818187</v>
      </c>
    </row>
    <row r="17" spans="1:6">
      <c r="A17" s="56">
        <v>15</v>
      </c>
      <c r="B17" s="56" t="s">
        <v>41</v>
      </c>
      <c r="C17" s="57">
        <v>15849</v>
      </c>
      <c r="D17" s="57">
        <f t="shared" si="0"/>
        <v>31698</v>
      </c>
      <c r="E17" s="57">
        <f t="shared" si="1"/>
        <v>1440.8181818181818</v>
      </c>
      <c r="F17" s="57">
        <f t="shared" si="2"/>
        <v>180.10227272727272</v>
      </c>
    </row>
    <row r="18" spans="1:6">
      <c r="A18" s="56">
        <v>16</v>
      </c>
      <c r="B18" s="56" t="s">
        <v>42</v>
      </c>
      <c r="C18" s="57">
        <v>8078.5</v>
      </c>
      <c r="D18" s="57">
        <f t="shared" si="0"/>
        <v>16157</v>
      </c>
      <c r="E18" s="57">
        <f t="shared" si="1"/>
        <v>734.40909090909088</v>
      </c>
      <c r="F18" s="57">
        <f t="shared" si="2"/>
        <v>91.80113636363636</v>
      </c>
    </row>
    <row r="19" spans="1:6">
      <c r="A19" s="56">
        <v>17</v>
      </c>
      <c r="B19" s="56" t="s">
        <v>43</v>
      </c>
      <c r="C19" s="57">
        <v>8078.5</v>
      </c>
      <c r="D19" s="57">
        <f t="shared" si="0"/>
        <v>16157</v>
      </c>
      <c r="E19" s="57">
        <f t="shared" si="1"/>
        <v>734.40909090909088</v>
      </c>
      <c r="F19" s="57">
        <f t="shared" si="2"/>
        <v>91.80113636363636</v>
      </c>
    </row>
    <row r="20" spans="1:6">
      <c r="A20" s="56">
        <v>18</v>
      </c>
      <c r="B20" s="56" t="s">
        <v>44</v>
      </c>
      <c r="C20" s="57">
        <v>12083.5</v>
      </c>
      <c r="D20" s="57">
        <f t="shared" si="0"/>
        <v>24167</v>
      </c>
      <c r="E20" s="57">
        <f t="shared" si="1"/>
        <v>1098.5</v>
      </c>
      <c r="F20" s="57">
        <f t="shared" si="2"/>
        <v>137.3125</v>
      </c>
    </row>
    <row r="21" spans="1:6">
      <c r="A21" s="56">
        <v>19</v>
      </c>
      <c r="B21" s="56" t="s">
        <v>45</v>
      </c>
      <c r="C21" s="57">
        <v>6368.5</v>
      </c>
      <c r="D21" s="57">
        <f t="shared" si="0"/>
        <v>12737</v>
      </c>
      <c r="E21" s="57">
        <f t="shared" si="1"/>
        <v>578.9545454545455</v>
      </c>
      <c r="F21" s="57">
        <f t="shared" si="2"/>
        <v>72.369318181818187</v>
      </c>
    </row>
    <row r="22" spans="1:6">
      <c r="A22" s="56">
        <v>20</v>
      </c>
      <c r="B22" s="56" t="s">
        <v>46</v>
      </c>
      <c r="C22" s="57">
        <v>7177</v>
      </c>
      <c r="D22" s="57">
        <f t="shared" si="0"/>
        <v>14354</v>
      </c>
      <c r="E22" s="57">
        <f t="shared" si="1"/>
        <v>652.4545454545455</v>
      </c>
      <c r="F22" s="57">
        <f t="shared" si="2"/>
        <v>81.556818181818187</v>
      </c>
    </row>
    <row r="23" spans="1:6">
      <c r="A23" s="56">
        <v>21</v>
      </c>
      <c r="B23" s="56" t="s">
        <v>47</v>
      </c>
      <c r="C23" s="57">
        <v>8078.5</v>
      </c>
      <c r="D23" s="57">
        <f t="shared" si="0"/>
        <v>16157</v>
      </c>
      <c r="E23" s="57">
        <f t="shared" si="1"/>
        <v>734.40909090909088</v>
      </c>
      <c r="F23" s="57">
        <f t="shared" si="2"/>
        <v>91.80113636363636</v>
      </c>
    </row>
    <row r="24" spans="1:6">
      <c r="A24" s="59">
        <v>22</v>
      </c>
      <c r="B24" s="59" t="s">
        <v>48</v>
      </c>
      <c r="C24" s="60">
        <v>4950</v>
      </c>
      <c r="D24" s="60">
        <f t="shared" si="0"/>
        <v>9900</v>
      </c>
      <c r="E24" s="60">
        <f t="shared" si="1"/>
        <v>450</v>
      </c>
      <c r="F24" s="60">
        <f t="shared" si="2"/>
        <v>56.25</v>
      </c>
    </row>
    <row r="25" spans="1:6">
      <c r="A25" s="59">
        <v>23</v>
      </c>
      <c r="B25" s="59" t="s">
        <v>49</v>
      </c>
      <c r="C25" s="60">
        <v>4950</v>
      </c>
      <c r="D25" s="60">
        <f t="shared" si="0"/>
        <v>9900</v>
      </c>
      <c r="E25" s="60">
        <f t="shared" si="1"/>
        <v>450</v>
      </c>
      <c r="F25" s="60">
        <f t="shared" si="2"/>
        <v>56.25</v>
      </c>
    </row>
    <row r="26" spans="1:6">
      <c r="A26" s="46"/>
      <c r="B26" s="46"/>
      <c r="C26" s="47">
        <f>SUM(C3:C25)</f>
        <v>303557.5</v>
      </c>
      <c r="D26" s="47">
        <f>SUM(D3:D25)</f>
        <v>607115</v>
      </c>
      <c r="E26" s="47">
        <f>SUM(E3:E25)</f>
        <v>27596.136363636364</v>
      </c>
      <c r="F26" s="47">
        <f t="shared" si="2"/>
        <v>3449.5170454545455</v>
      </c>
    </row>
  </sheetData>
  <mergeCells count="1">
    <mergeCell ref="A1:D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Q220"/>
  <sheetViews>
    <sheetView view="pageBreakPreview" topLeftCell="A13" zoomScale="70" zoomScaleNormal="70" zoomScaleSheetLayoutView="70" zoomScalePageLayoutView="70" workbookViewId="0">
      <selection activeCell="F28" sqref="F28:I30"/>
    </sheetView>
  </sheetViews>
  <sheetFormatPr defaultRowHeight="15.75"/>
  <cols>
    <col min="1" max="1" width="32.140625" style="4" customWidth="1"/>
    <col min="2" max="2" width="19.140625" style="6" customWidth="1"/>
    <col min="3" max="3" width="19.85546875" style="6" customWidth="1"/>
    <col min="4" max="4" width="19" style="6" customWidth="1"/>
    <col min="5" max="5" width="27.7109375" style="6" customWidth="1"/>
    <col min="6" max="6" width="20.28515625" style="22" customWidth="1"/>
    <col min="7" max="8" width="20.28515625" style="2" customWidth="1"/>
    <col min="9" max="9" width="14.140625" style="2" customWidth="1"/>
    <col min="10" max="10" width="15.5703125" style="1" customWidth="1"/>
    <col min="11" max="24" width="9.140625" style="2"/>
    <col min="25" max="25" width="10.140625" style="2" customWidth="1"/>
    <col min="26" max="16384" width="9.140625" style="2"/>
  </cols>
  <sheetData>
    <row r="1" spans="1:10">
      <c r="A1" s="121" t="s">
        <v>0</v>
      </c>
      <c r="B1" s="121"/>
      <c r="C1" s="121"/>
      <c r="D1" s="121"/>
      <c r="E1" s="121"/>
      <c r="F1" s="121"/>
      <c r="G1" s="121"/>
      <c r="H1" s="121"/>
      <c r="I1" s="121"/>
    </row>
    <row r="2" spans="1:10">
      <c r="A2" s="121" t="s">
        <v>60</v>
      </c>
      <c r="B2" s="121"/>
      <c r="C2" s="121"/>
      <c r="D2" s="121"/>
      <c r="E2" s="121"/>
      <c r="F2" s="121"/>
      <c r="G2" s="121"/>
      <c r="H2" s="121"/>
      <c r="I2" s="121"/>
    </row>
    <row r="3" spans="1:10">
      <c r="A3" s="121"/>
      <c r="B3" s="121"/>
      <c r="C3" s="121"/>
      <c r="D3" s="121"/>
      <c r="E3" s="121"/>
      <c r="F3" s="121"/>
      <c r="G3" s="121"/>
      <c r="H3" s="121"/>
      <c r="I3" s="3" t="s">
        <v>59</v>
      </c>
    </row>
    <row r="4" spans="1:10">
      <c r="A4" s="4" t="s">
        <v>1</v>
      </c>
      <c r="B4" s="5" t="s">
        <v>2</v>
      </c>
      <c r="C4" s="133"/>
      <c r="D4" s="133"/>
      <c r="E4" s="133"/>
      <c r="F4" s="133"/>
      <c r="G4" s="3" t="s">
        <v>3</v>
      </c>
      <c r="H4" s="8"/>
      <c r="J4" s="9"/>
    </row>
    <row r="5" spans="1:10">
      <c r="A5" s="4" t="s">
        <v>4</v>
      </c>
      <c r="B5" s="10" t="s">
        <v>5</v>
      </c>
      <c r="F5" s="7"/>
      <c r="G5" s="3" t="s">
        <v>6</v>
      </c>
      <c r="H5" s="8" t="e">
        <f>F18</f>
        <v>#REF!</v>
      </c>
      <c r="I5" s="11"/>
    </row>
    <row r="6" spans="1:10">
      <c r="A6" s="4" t="s">
        <v>7</v>
      </c>
      <c r="B6" s="5" t="s">
        <v>8</v>
      </c>
      <c r="F6" s="7"/>
      <c r="H6" s="12"/>
    </row>
    <row r="7" spans="1:10">
      <c r="F7" s="7"/>
    </row>
    <row r="8" spans="1:10" ht="20.25" customHeight="1">
      <c r="A8" s="122" t="s">
        <v>9</v>
      </c>
      <c r="B8" s="124" t="s">
        <v>10</v>
      </c>
      <c r="C8" s="124" t="s">
        <v>11</v>
      </c>
      <c r="D8" s="126" t="s">
        <v>12</v>
      </c>
      <c r="E8" s="126" t="s">
        <v>13</v>
      </c>
      <c r="F8" s="128" t="s">
        <v>14</v>
      </c>
      <c r="G8" s="129"/>
      <c r="H8" s="130"/>
      <c r="I8" s="131" t="s">
        <v>15</v>
      </c>
    </row>
    <row r="9" spans="1:10" ht="83.25" customHeight="1">
      <c r="A9" s="123"/>
      <c r="B9" s="125"/>
      <c r="C9" s="125"/>
      <c r="D9" s="127"/>
      <c r="E9" s="127"/>
      <c r="F9" s="40" t="s">
        <v>16</v>
      </c>
      <c r="G9" s="13" t="s">
        <v>17</v>
      </c>
      <c r="H9" s="13" t="s">
        <v>18</v>
      </c>
      <c r="I9" s="132"/>
    </row>
    <row r="10" spans="1:10">
      <c r="A10" s="90" t="s">
        <v>19</v>
      </c>
      <c r="B10" s="91"/>
      <c r="C10" s="91"/>
      <c r="D10" s="91"/>
      <c r="E10" s="91"/>
      <c r="F10" s="91"/>
      <c r="G10" s="91"/>
      <c r="H10" s="91"/>
      <c r="I10" s="92"/>
    </row>
    <row r="11" spans="1:10" s="24" customFormat="1" ht="240" customHeight="1">
      <c r="A11" s="29" t="s">
        <v>61</v>
      </c>
      <c r="B11" s="63" t="s">
        <v>62</v>
      </c>
      <c r="C11" s="63" t="s">
        <v>63</v>
      </c>
      <c r="D11" s="63" t="s">
        <v>64</v>
      </c>
      <c r="E11" s="63" t="s">
        <v>65</v>
      </c>
      <c r="F11" s="64">
        <v>75000000</v>
      </c>
      <c r="G11" s="39"/>
      <c r="H11" s="28"/>
      <c r="I11" s="26" t="s">
        <v>77</v>
      </c>
      <c r="J11" s="23"/>
    </row>
    <row r="12" spans="1:10" ht="19.5" customHeight="1">
      <c r="A12" s="118" t="s">
        <v>20</v>
      </c>
      <c r="B12" s="119"/>
      <c r="C12" s="119"/>
      <c r="D12" s="119"/>
      <c r="E12" s="120"/>
      <c r="F12" s="65">
        <f>F11</f>
        <v>75000000</v>
      </c>
      <c r="G12" s="38"/>
      <c r="H12" s="30"/>
      <c r="I12" s="31"/>
    </row>
    <row r="13" spans="1:10">
      <c r="A13" s="90" t="s">
        <v>21</v>
      </c>
      <c r="B13" s="91"/>
      <c r="C13" s="91"/>
      <c r="D13" s="91"/>
      <c r="E13" s="91"/>
      <c r="F13" s="91"/>
      <c r="G13" s="91"/>
      <c r="H13" s="91"/>
      <c r="I13" s="92"/>
    </row>
    <row r="14" spans="1:10" s="25" customFormat="1" ht="117" customHeight="1">
      <c r="A14" s="63" t="s">
        <v>66</v>
      </c>
      <c r="B14" s="67" t="s">
        <v>67</v>
      </c>
      <c r="C14" s="67" t="s">
        <v>68</v>
      </c>
      <c r="D14" s="63" t="s">
        <v>69</v>
      </c>
      <c r="E14" s="68" t="s">
        <v>78</v>
      </c>
      <c r="F14" s="32"/>
      <c r="G14" s="66"/>
      <c r="H14" s="32"/>
      <c r="I14" s="41"/>
    </row>
    <row r="15" spans="1:10" s="25" customFormat="1" ht="112.5" customHeight="1">
      <c r="A15" s="63" t="s">
        <v>70</v>
      </c>
      <c r="B15" s="63" t="s">
        <v>71</v>
      </c>
      <c r="C15" s="67" t="s">
        <v>68</v>
      </c>
      <c r="D15" s="63" t="s">
        <v>72</v>
      </c>
      <c r="E15" s="68" t="s">
        <v>79</v>
      </c>
      <c r="F15" s="32"/>
      <c r="G15" s="66"/>
      <c r="H15" s="32"/>
      <c r="I15" s="41"/>
    </row>
    <row r="16" spans="1:10" s="25" customFormat="1" ht="172.5" customHeight="1">
      <c r="A16" s="63" t="s">
        <v>73</v>
      </c>
      <c r="B16" s="63" t="s">
        <v>74</v>
      </c>
      <c r="C16" s="63" t="s">
        <v>68</v>
      </c>
      <c r="D16" s="63" t="s">
        <v>75</v>
      </c>
      <c r="E16" s="62" t="s">
        <v>76</v>
      </c>
      <c r="F16" s="32"/>
      <c r="G16" s="66"/>
      <c r="H16" s="32"/>
      <c r="I16" s="41"/>
    </row>
    <row r="17" spans="1:10" s="43" customFormat="1" ht="19.5" customHeight="1">
      <c r="A17" s="33" t="s">
        <v>22</v>
      </c>
      <c r="B17" s="34"/>
      <c r="C17" s="34"/>
      <c r="D17" s="34"/>
      <c r="E17" s="35"/>
      <c r="F17" s="36"/>
      <c r="G17" s="38" t="e">
        <f>SUM(G14,#REF!,#REF!)</f>
        <v>#REF!</v>
      </c>
      <c r="H17" s="36"/>
      <c r="I17" s="37"/>
      <c r="J17" s="42"/>
    </row>
    <row r="18" spans="1:10">
      <c r="A18" s="96" t="s">
        <v>24</v>
      </c>
      <c r="B18" s="97"/>
      <c r="C18" s="97"/>
      <c r="D18" s="97"/>
      <c r="E18" s="98"/>
      <c r="F18" s="99" t="e">
        <f>SUM(G12,G17)</f>
        <v>#REF!</v>
      </c>
      <c r="G18" s="100"/>
      <c r="H18" s="100"/>
      <c r="I18" s="101"/>
    </row>
    <row r="19" spans="1:10" ht="15.75" customHeight="1">
      <c r="A19" s="48" t="s">
        <v>56</v>
      </c>
      <c r="B19" s="49"/>
      <c r="C19" s="48" t="s">
        <v>25</v>
      </c>
      <c r="D19" s="52"/>
      <c r="E19" s="49"/>
      <c r="F19" s="48" t="s">
        <v>23</v>
      </c>
      <c r="G19" s="54"/>
      <c r="H19" s="54"/>
      <c r="I19" s="55"/>
    </row>
    <row r="20" spans="1:10">
      <c r="A20" s="50"/>
      <c r="B20" s="51"/>
      <c r="C20" s="50"/>
      <c r="D20" s="53"/>
      <c r="E20" s="51"/>
      <c r="F20" s="111"/>
      <c r="G20" s="112"/>
      <c r="H20" s="112"/>
      <c r="I20" s="113"/>
    </row>
    <row r="21" spans="1:10">
      <c r="A21" s="105"/>
      <c r="B21" s="106"/>
      <c r="C21" s="105"/>
      <c r="D21" s="109"/>
      <c r="E21" s="106"/>
      <c r="F21" s="114"/>
      <c r="G21" s="112"/>
      <c r="H21" s="112"/>
      <c r="I21" s="113"/>
    </row>
    <row r="22" spans="1:10" ht="24" customHeight="1">
      <c r="A22" s="107"/>
      <c r="B22" s="108"/>
      <c r="C22" s="107"/>
      <c r="D22" s="110"/>
      <c r="E22" s="108"/>
      <c r="F22" s="115"/>
      <c r="G22" s="116"/>
      <c r="H22" s="116"/>
      <c r="I22" s="117"/>
    </row>
    <row r="23" spans="1:10" ht="102.75" customHeight="1">
      <c r="A23" s="2"/>
      <c r="B23" s="2"/>
      <c r="C23" s="2"/>
      <c r="D23" s="2"/>
      <c r="E23" s="2"/>
      <c r="F23" s="2"/>
      <c r="J23" s="2"/>
    </row>
    <row r="24" spans="1:10" ht="117.75" customHeight="1">
      <c r="A24" s="2"/>
      <c r="B24" s="2"/>
      <c r="C24" s="2"/>
      <c r="D24" s="2"/>
      <c r="E24" s="2"/>
      <c r="F24" s="2"/>
      <c r="J24" s="2"/>
    </row>
    <row r="25" spans="1:10" ht="101.25" customHeight="1">
      <c r="A25" s="2"/>
      <c r="B25" s="2"/>
      <c r="C25" s="2"/>
      <c r="D25" s="2"/>
      <c r="E25" s="2"/>
      <c r="F25" s="2"/>
      <c r="J25" s="2"/>
    </row>
    <row r="26" spans="1:10" ht="245.25" customHeight="1">
      <c r="A26" s="2"/>
      <c r="B26" s="2"/>
      <c r="C26" s="2"/>
      <c r="D26" s="2"/>
      <c r="E26" s="2"/>
      <c r="F26" s="2"/>
      <c r="J26" s="2"/>
    </row>
    <row r="27" spans="1:10" ht="137.25" customHeight="1">
      <c r="A27" s="2"/>
      <c r="B27" s="2"/>
      <c r="C27" s="2"/>
      <c r="D27" s="2"/>
      <c r="E27" s="2"/>
      <c r="F27" s="2"/>
      <c r="J27" s="2"/>
    </row>
    <row r="28" spans="1:10" ht="205.5" customHeight="1">
      <c r="A28" s="2"/>
      <c r="B28" s="2"/>
      <c r="C28" s="2"/>
      <c r="D28" s="2"/>
      <c r="E28" s="2"/>
      <c r="F28" s="2"/>
      <c r="J28" s="2"/>
    </row>
    <row r="29" spans="1:10" ht="136.5" customHeight="1">
      <c r="A29" s="2"/>
      <c r="B29" s="2"/>
      <c r="C29" s="2"/>
      <c r="D29" s="2"/>
      <c r="E29" s="2"/>
      <c r="F29" s="2"/>
      <c r="J29" s="2"/>
    </row>
    <row r="30" spans="1:10" ht="223.5" customHeight="1">
      <c r="A30" s="2"/>
      <c r="B30" s="2"/>
      <c r="C30" s="2"/>
      <c r="D30" s="2"/>
      <c r="E30" s="2"/>
      <c r="F30" s="2"/>
      <c r="J30" s="2"/>
    </row>
    <row r="31" spans="1:10" ht="50.25" customHeight="1">
      <c r="A31" s="2"/>
      <c r="B31" s="2"/>
      <c r="C31" s="2"/>
      <c r="D31" s="2"/>
      <c r="E31" s="2"/>
      <c r="F31" s="2"/>
      <c r="J31" s="2"/>
    </row>
    <row r="32" spans="1:10" ht="153" customHeight="1">
      <c r="A32" s="2"/>
      <c r="B32" s="2"/>
      <c r="C32" s="2"/>
      <c r="D32" s="2"/>
      <c r="E32" s="2"/>
      <c r="F32" s="2"/>
      <c r="J32" s="2"/>
    </row>
    <row r="33" spans="1:43" s="1" customFormat="1" ht="245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spans="1:43" s="1" customFormat="1" ht="121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spans="1:43" s="1" customFormat="1" ht="13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spans="1:43" s="1" customFormat="1" ht="258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spans="1:43" s="1" customFormat="1" ht="117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spans="1:43" s="1" customFormat="1" ht="11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spans="1:43" s="1" customFormat="1" ht="13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43" s="1" customFormat="1" ht="130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spans="1:43" s="1" customFormat="1" ht="173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spans="1:43" s="1" customFormat="1" ht="279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spans="1:43" s="1" customFormat="1" ht="168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spans="1:43" s="1" customFormat="1" ht="13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spans="1:43" s="1" customFormat="1" ht="115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1:43" s="1" customFormat="1" ht="153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1:43" s="1" customFormat="1" ht="16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1:43" s="1" customFormat="1" ht="13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="2" customFormat="1"/>
    <row r="50" s="2" customFormat="1" ht="86.25" customHeight="1"/>
    <row r="51" s="2" customFormat="1" ht="129.75" customHeight="1"/>
    <row r="52" s="2" customFormat="1" ht="102" customHeight="1"/>
    <row r="53" s="16" customFormat="1" ht="213" customHeight="1"/>
    <row r="54" s="16" customFormat="1" ht="101.25" customHeight="1"/>
    <row r="55" s="17" customFormat="1" ht="34.5" customHeight="1"/>
    <row r="56" s="14" customFormat="1" ht="158.25" customHeight="1"/>
    <row r="57" s="2" customFormat="1" ht="119.25" customHeight="1"/>
    <row r="58" s="2" customFormat="1"/>
    <row r="59" s="2" customFormat="1" ht="68.25" customHeight="1"/>
    <row r="60" s="14" customFormat="1" ht="93.75" customHeight="1"/>
    <row r="61" s="2" customFormat="1" ht="99.75" customHeight="1"/>
    <row r="62" s="14" customFormat="1" ht="62.25" customHeight="1"/>
    <row r="63" s="2" customFormat="1" ht="19.5" customHeight="1"/>
    <row r="64" s="2" customFormat="1" ht="182.25" customHeight="1"/>
    <row r="65" s="2" customFormat="1" ht="197.25" customHeight="1"/>
    <row r="66" s="2" customFormat="1" ht="196.5" customHeight="1"/>
    <row r="67" s="2" customFormat="1" ht="133.5" customHeight="1"/>
    <row r="68" s="2" customFormat="1" ht="18.75" customHeight="1"/>
    <row r="69" s="2" customFormat="1" ht="163.5" customHeight="1"/>
    <row r="70" s="2" customFormat="1"/>
    <row r="71" s="2" customFormat="1" ht="140.25" customHeight="1"/>
    <row r="72" s="2" customFormat="1" ht="228.75" customHeight="1"/>
    <row r="73" s="2" customFormat="1" ht="15.75" customHeight="1"/>
    <row r="74" s="2" customFormat="1" ht="356.25" customHeight="1"/>
    <row r="75" s="2" customFormat="1" ht="94.5" customHeight="1"/>
    <row r="76" s="2" customFormat="1" ht="15.75" customHeight="1"/>
    <row r="77" s="2" customFormat="1" ht="198.75" customHeight="1"/>
    <row r="78" s="2" customFormat="1" ht="144.75" customHeight="1"/>
    <row r="79" s="2" customFormat="1" ht="133.5" customHeight="1"/>
    <row r="80" s="2" customFormat="1" ht="146.25" customHeight="1"/>
    <row r="81" s="2" customFormat="1" ht="16.5" customHeight="1"/>
    <row r="82" s="2" customFormat="1" ht="99.75" customHeight="1"/>
    <row r="83" s="2" customFormat="1" ht="165" customHeight="1"/>
    <row r="84" s="2" customFormat="1"/>
    <row r="85" s="2" customFormat="1" ht="216" customHeight="1"/>
    <row r="86" s="2" customFormat="1" ht="357" customHeight="1"/>
    <row r="87" s="2" customFormat="1" ht="384" customHeight="1"/>
    <row r="88" s="2" customFormat="1" ht="196.5" customHeight="1"/>
    <row r="89" s="2" customFormat="1" ht="149.25" customHeight="1"/>
    <row r="90" s="2" customFormat="1" ht="258.75" customHeight="1"/>
    <row r="91" s="2" customFormat="1" ht="19.5" customHeight="1"/>
    <row r="92" s="2" customFormat="1" ht="260.25" customHeight="1"/>
    <row r="93" s="2" customFormat="1" ht="21" customHeight="1"/>
    <row r="94" s="2" customFormat="1" ht="206.25" customHeight="1"/>
    <row r="95" s="2" customFormat="1" ht="21" customHeight="1"/>
    <row r="96" s="2" customFormat="1" ht="45" customHeight="1"/>
    <row r="97" s="17" customFormat="1" ht="135.75" customHeight="1"/>
    <row r="98" s="2" customFormat="1" ht="18" customHeight="1"/>
    <row r="99" s="2" customFormat="1" ht="74.25" customHeight="1"/>
    <row r="100" s="2" customFormat="1" ht="203.25" customHeight="1"/>
    <row r="101" s="2" customFormat="1" ht="149.25" customHeight="1"/>
    <row r="102" s="2" customFormat="1" ht="194.25" customHeight="1"/>
    <row r="103" s="2" customFormat="1" ht="155.25" customHeight="1"/>
    <row r="104" s="2" customFormat="1" ht="179.25" customHeight="1"/>
    <row r="105" s="2" customFormat="1" ht="186.75" customHeight="1"/>
    <row r="106" s="2" customFormat="1" ht="342.75" customHeight="1"/>
    <row r="107" s="2" customFormat="1" ht="203.25" customHeight="1"/>
    <row r="108" s="2" customFormat="1" ht="180.75" customHeight="1"/>
    <row r="109" s="2" customFormat="1" ht="221.25" customHeight="1"/>
    <row r="110" s="2" customFormat="1" ht="322.5" customHeight="1"/>
    <row r="111" s="17" customFormat="1" ht="34.5" customHeight="1"/>
    <row r="112" s="14" customFormat="1" ht="158.25" customHeight="1"/>
    <row r="113" s="2" customFormat="1" ht="94.5" customHeight="1"/>
    <row r="114" s="2" customFormat="1"/>
    <row r="115" s="2" customFormat="1" ht="230.25" customHeight="1"/>
    <row r="116" s="2" customFormat="1" ht="118.5" customHeight="1"/>
    <row r="117" s="2" customFormat="1"/>
    <row r="118" s="2" customFormat="1"/>
    <row r="119" s="2" customFormat="1" ht="169.5" customHeight="1"/>
    <row r="120" s="2" customFormat="1" ht="162" customHeight="1"/>
    <row r="121" s="2" customFormat="1" ht="197.25" customHeight="1"/>
    <row r="122" s="2" customFormat="1" ht="322.5" customHeight="1"/>
    <row r="123" s="2" customFormat="1" ht="172.5" customHeight="1"/>
    <row r="124" s="2" customFormat="1" ht="136.5" customHeight="1"/>
    <row r="125" s="2" customFormat="1" ht="131.25" customHeight="1"/>
    <row r="126" s="2" customFormat="1" ht="138" customHeight="1"/>
    <row r="127" s="2" customFormat="1" ht="162.75" customHeight="1"/>
    <row r="128" s="2" customFormat="1" ht="159.75" customHeight="1"/>
    <row r="129" s="2" customFormat="1" ht="175.5" customHeight="1"/>
    <row r="130" s="2" customFormat="1" ht="100.5" customHeight="1"/>
    <row r="131" s="2" customFormat="1" ht="138" customHeight="1"/>
    <row r="132" s="2" customFormat="1" ht="94.5" customHeight="1"/>
    <row r="133" s="2" customFormat="1" ht="15.75" customHeight="1"/>
    <row r="134" s="2" customFormat="1" ht="126" customHeight="1"/>
    <row r="135" s="2" customFormat="1" ht="153" customHeight="1"/>
    <row r="136" s="2" customFormat="1" ht="105.75" customHeight="1"/>
    <row r="137" s="2" customFormat="1" ht="93.75" customHeight="1"/>
    <row r="138" s="2" customFormat="1" ht="15.75" customHeight="1"/>
    <row r="139" s="18" customFormat="1"/>
    <row r="140" s="19" customFormat="1"/>
    <row r="141" s="19" customFormat="1" ht="291.75" customHeight="1"/>
    <row r="142" s="19" customFormat="1" ht="15.75" customHeight="1"/>
    <row r="143" s="19" customFormat="1" ht="119.25" customHeight="1"/>
    <row r="144" s="18" customFormat="1"/>
    <row r="145" s="18" customFormat="1"/>
    <row r="146" s="18" customFormat="1"/>
    <row r="147" s="18" customFormat="1"/>
    <row r="148" s="18" customFormat="1"/>
    <row r="149" s="18" customFormat="1"/>
    <row r="150" s="18" customFormat="1" ht="137.25" customHeight="1"/>
    <row r="151" s="17" customFormat="1" ht="34.5" customHeight="1"/>
    <row r="152" s="14" customFormat="1" ht="158.25" customHeight="1"/>
    <row r="153" s="2" customFormat="1" ht="19.5" customHeight="1"/>
    <row r="154" s="2" customFormat="1"/>
    <row r="155" s="2" customFormat="1"/>
    <row r="156" s="20" customFormat="1" ht="47.25" customHeight="1"/>
    <row r="157" s="21" customFormat="1" ht="158.25" customHeight="1"/>
    <row r="158" s="2" customFormat="1"/>
    <row r="159" s="2" customFormat="1" ht="215.25" customHeight="1"/>
    <row r="160" s="2" customFormat="1" ht="15.75" customHeight="1"/>
    <row r="161" s="2" customFormat="1" ht="168.75" customHeight="1"/>
    <row r="162" s="2" customFormat="1" ht="180.75" customHeight="1"/>
    <row r="163" s="2" customFormat="1"/>
    <row r="164" s="2" customFormat="1" ht="162.75" customHeight="1"/>
    <row r="165" s="2" customFormat="1" ht="183.75" customHeight="1"/>
    <row r="166" s="16" customFormat="1"/>
    <row r="167" s="2" customFormat="1" ht="168.75" customHeight="1"/>
    <row r="168" s="2" customFormat="1" ht="232.5" customHeight="1"/>
    <row r="169" s="2" customFormat="1" ht="15.75" customHeight="1"/>
    <row r="170" s="2" customFormat="1" ht="103.5" customHeight="1"/>
    <row r="171" s="2" customFormat="1" ht="120" customHeight="1"/>
    <row r="172" s="2" customFormat="1" ht="117" customHeight="1"/>
    <row r="173" s="2" customFormat="1"/>
    <row r="174" s="2" customFormat="1" ht="212.25" customHeight="1"/>
    <row r="175" s="2" customFormat="1" ht="180.75" customHeight="1"/>
    <row r="176" s="2" customFormat="1"/>
    <row r="177" s="18" customFormat="1"/>
    <row r="178" s="18" customFormat="1"/>
    <row r="179" s="18" customFormat="1"/>
    <row r="180" s="18" customFormat="1"/>
    <row r="181" s="18" customFormat="1"/>
    <row r="182" s="18" customFormat="1" ht="47.25" customHeight="1"/>
    <row r="183" s="18" customFormat="1" ht="93.75" customHeight="1"/>
    <row r="184" s="18" customFormat="1"/>
    <row r="185" s="18" customFormat="1"/>
    <row r="186" s="18" customFormat="1"/>
    <row r="187" s="18" customFormat="1"/>
    <row r="188" s="18" customFormat="1"/>
    <row r="189" s="18" customFormat="1"/>
    <row r="190" s="18" customFormat="1"/>
    <row r="191" s="18" customFormat="1"/>
    <row r="192" s="18" customFormat="1"/>
    <row r="193" s="18" customFormat="1"/>
    <row r="194" s="18" customFormat="1"/>
    <row r="195" s="15" customFormat="1" ht="19.5" customHeight="1"/>
    <row r="196" s="2" customFormat="1"/>
    <row r="197" s="2" customFormat="1" ht="90" customHeight="1"/>
    <row r="198" s="2" customFormat="1" ht="36.75" customHeight="1"/>
    <row r="199" s="2" customFormat="1" ht="38.25" customHeight="1"/>
    <row r="200" s="2" customFormat="1" ht="36" customHeight="1"/>
    <row r="201" s="2" customFormat="1" ht="42.75" customHeight="1"/>
    <row r="202" s="2" customFormat="1" ht="36" customHeight="1"/>
    <row r="203" s="2" customFormat="1" ht="36" customHeigh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 ht="15.75" customHeight="1"/>
    <row r="212" s="2" customFormat="1"/>
    <row r="213" s="2" customFormat="1"/>
    <row r="214" s="2" customFormat="1" ht="24" customHeight="1"/>
    <row r="215" s="2" customFormat="1"/>
    <row r="216" s="2" customFormat="1"/>
    <row r="217" s="2" customFormat="1"/>
    <row r="218" s="2" customFormat="1"/>
    <row r="219" s="2" customFormat="1"/>
    <row r="220" s="2" customFormat="1"/>
  </sheetData>
  <mergeCells count="21">
    <mergeCell ref="F20:I22"/>
    <mergeCell ref="A21:B21"/>
    <mergeCell ref="C21:E21"/>
    <mergeCell ref="A22:B22"/>
    <mergeCell ref="C22:E22"/>
    <mergeCell ref="A10:I10"/>
    <mergeCell ref="A12:E12"/>
    <mergeCell ref="A13:I13"/>
    <mergeCell ref="A18:E18"/>
    <mergeCell ref="F18:I18"/>
    <mergeCell ref="A1:I1"/>
    <mergeCell ref="A2:I2"/>
    <mergeCell ref="A3:H3"/>
    <mergeCell ref="C4:F4"/>
    <mergeCell ref="A8:A9"/>
    <mergeCell ref="B8:B9"/>
    <mergeCell ref="C8:C9"/>
    <mergeCell ref="D8:D9"/>
    <mergeCell ref="E8:E9"/>
    <mergeCell ref="F8:H8"/>
    <mergeCell ref="I8:I9"/>
  </mergeCells>
  <pageMargins left="0.35" right="0.16" top="0.75" bottom="0.51" header="0.3" footer="0.3"/>
  <pageSetup paperSize="9" scale="73" fitToHeight="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Q225"/>
  <sheetViews>
    <sheetView view="pageBreakPreview" zoomScale="70" zoomScaleNormal="70" zoomScaleSheetLayoutView="70" zoomScalePageLayoutView="70" workbookViewId="0">
      <selection activeCell="F28" sqref="F28:I30"/>
    </sheetView>
  </sheetViews>
  <sheetFormatPr defaultRowHeight="15.75"/>
  <cols>
    <col min="1" max="1" width="32.140625" style="4" customWidth="1"/>
    <col min="2" max="2" width="19.140625" style="6" customWidth="1"/>
    <col min="3" max="3" width="19.85546875" style="6" customWidth="1"/>
    <col min="4" max="4" width="19" style="6" customWidth="1"/>
    <col min="5" max="5" width="27.7109375" style="6" customWidth="1"/>
    <col min="6" max="6" width="20.28515625" style="22" customWidth="1"/>
    <col min="7" max="8" width="20.28515625" style="2" customWidth="1"/>
    <col min="9" max="9" width="14.140625" style="2" customWidth="1"/>
    <col min="10" max="10" width="15.5703125" style="1" customWidth="1"/>
    <col min="11" max="24" width="9.140625" style="2"/>
    <col min="25" max="25" width="10.140625" style="2" customWidth="1"/>
    <col min="26" max="16384" width="9.140625" style="2"/>
  </cols>
  <sheetData>
    <row r="1" spans="1:10">
      <c r="A1" s="121" t="s">
        <v>106</v>
      </c>
      <c r="B1" s="121"/>
      <c r="C1" s="121"/>
      <c r="D1" s="121"/>
      <c r="E1" s="121"/>
      <c r="F1" s="121"/>
      <c r="G1" s="121"/>
      <c r="H1" s="121"/>
      <c r="I1" s="121"/>
    </row>
    <row r="2" spans="1:10">
      <c r="A2" s="121" t="s">
        <v>107</v>
      </c>
      <c r="B2" s="121"/>
      <c r="C2" s="121"/>
      <c r="D2" s="121"/>
      <c r="E2" s="121"/>
      <c r="F2" s="121"/>
      <c r="G2" s="121"/>
      <c r="H2" s="121"/>
      <c r="I2" s="121"/>
    </row>
    <row r="3" spans="1:10">
      <c r="A3" s="121" t="s">
        <v>87</v>
      </c>
      <c r="B3" s="121"/>
      <c r="C3" s="121"/>
      <c r="D3" s="121"/>
      <c r="E3" s="121"/>
      <c r="F3" s="121"/>
      <c r="G3" s="121"/>
      <c r="H3" s="121"/>
      <c r="I3" s="121"/>
    </row>
    <row r="4" spans="1:10">
      <c r="A4" s="121"/>
      <c r="B4" s="121"/>
      <c r="C4" s="121"/>
      <c r="D4" s="121"/>
      <c r="E4" s="121"/>
      <c r="F4" s="121"/>
      <c r="G4" s="121"/>
      <c r="H4" s="121"/>
      <c r="I4" s="3" t="s">
        <v>59</v>
      </c>
    </row>
    <row r="5" spans="1:10">
      <c r="A5" s="4" t="s">
        <v>1</v>
      </c>
      <c r="B5" s="5" t="s">
        <v>2</v>
      </c>
      <c r="C5" s="133"/>
      <c r="D5" s="133"/>
      <c r="E5" s="133"/>
      <c r="F5" s="133"/>
      <c r="G5" s="3" t="s">
        <v>3</v>
      </c>
      <c r="H5" s="8"/>
      <c r="J5" s="9"/>
    </row>
    <row r="6" spans="1:10">
      <c r="A6" s="4" t="s">
        <v>4</v>
      </c>
      <c r="B6" s="10" t="s">
        <v>5</v>
      </c>
      <c r="F6" s="7"/>
      <c r="G6" s="3" t="s">
        <v>6</v>
      </c>
      <c r="H6" s="8">
        <f>SUM(F15+F18+H13+F21)</f>
        <v>33900000</v>
      </c>
      <c r="I6" s="11"/>
    </row>
    <row r="7" spans="1:10">
      <c r="A7" s="4" t="s">
        <v>7</v>
      </c>
      <c r="B7" s="5" t="s">
        <v>8</v>
      </c>
      <c r="F7" s="7"/>
      <c r="H7" s="12"/>
    </row>
    <row r="8" spans="1:10">
      <c r="F8" s="7"/>
    </row>
    <row r="9" spans="1:10" ht="20.25" customHeight="1">
      <c r="A9" s="122" t="s">
        <v>9</v>
      </c>
      <c r="B9" s="124" t="s">
        <v>10</v>
      </c>
      <c r="C9" s="124" t="s">
        <v>11</v>
      </c>
      <c r="D9" s="126" t="s">
        <v>12</v>
      </c>
      <c r="E9" s="126" t="s">
        <v>13</v>
      </c>
      <c r="F9" s="128" t="s">
        <v>14</v>
      </c>
      <c r="G9" s="129"/>
      <c r="H9" s="130"/>
      <c r="I9" s="131" t="s">
        <v>86</v>
      </c>
    </row>
    <row r="10" spans="1:10" ht="83.25" customHeight="1">
      <c r="A10" s="123"/>
      <c r="B10" s="125"/>
      <c r="C10" s="125"/>
      <c r="D10" s="127"/>
      <c r="E10" s="127"/>
      <c r="F10" s="40" t="s">
        <v>16</v>
      </c>
      <c r="G10" s="13" t="s">
        <v>17</v>
      </c>
      <c r="H10" s="13" t="s">
        <v>18</v>
      </c>
      <c r="I10" s="132"/>
    </row>
    <row r="11" spans="1:10">
      <c r="A11" s="90" t="s">
        <v>19</v>
      </c>
      <c r="B11" s="91"/>
      <c r="C11" s="91"/>
      <c r="D11" s="91"/>
      <c r="E11" s="91"/>
      <c r="F11" s="91"/>
      <c r="G11" s="91"/>
      <c r="H11" s="91"/>
      <c r="I11" s="92"/>
    </row>
    <row r="12" spans="1:10" s="24" customFormat="1" ht="356.25">
      <c r="A12" s="29" t="s">
        <v>91</v>
      </c>
      <c r="B12" s="29" t="s">
        <v>88</v>
      </c>
      <c r="C12" s="29" t="s">
        <v>95</v>
      </c>
      <c r="D12" s="29" t="s">
        <v>96</v>
      </c>
      <c r="E12" s="29" t="s">
        <v>97</v>
      </c>
      <c r="F12" s="78">
        <v>400000</v>
      </c>
      <c r="G12" s="39">
        <v>0</v>
      </c>
      <c r="H12" s="78">
        <v>0</v>
      </c>
      <c r="I12" s="26" t="s">
        <v>104</v>
      </c>
      <c r="J12" s="23"/>
    </row>
    <row r="13" spans="1:10" s="24" customFormat="1" ht="327.75">
      <c r="A13" s="29" t="s">
        <v>92</v>
      </c>
      <c r="B13" s="29" t="s">
        <v>89</v>
      </c>
      <c r="C13" s="29" t="s">
        <v>98</v>
      </c>
      <c r="D13" s="29" t="s">
        <v>99</v>
      </c>
      <c r="E13" s="29" t="s">
        <v>100</v>
      </c>
      <c r="F13" s="78">
        <v>0</v>
      </c>
      <c r="G13" s="39">
        <v>0</v>
      </c>
      <c r="H13" s="80">
        <v>20000000</v>
      </c>
      <c r="I13" s="79" t="s">
        <v>104</v>
      </c>
      <c r="J13" s="23"/>
    </row>
    <row r="14" spans="1:10" s="24" customFormat="1" ht="213.75">
      <c r="A14" s="29" t="s">
        <v>93</v>
      </c>
      <c r="B14" s="29" t="s">
        <v>90</v>
      </c>
      <c r="C14" s="29" t="s">
        <v>95</v>
      </c>
      <c r="D14" s="29" t="s">
        <v>101</v>
      </c>
      <c r="E14" s="29" t="s">
        <v>102</v>
      </c>
      <c r="F14" s="78">
        <v>150000</v>
      </c>
      <c r="G14" s="39">
        <v>0</v>
      </c>
      <c r="H14" s="78">
        <v>0</v>
      </c>
      <c r="I14" s="79" t="s">
        <v>104</v>
      </c>
      <c r="J14" s="23"/>
    </row>
    <row r="15" spans="1:10" ht="19.5" customHeight="1">
      <c r="A15" s="118" t="s">
        <v>20</v>
      </c>
      <c r="B15" s="119"/>
      <c r="C15" s="119"/>
      <c r="D15" s="119"/>
      <c r="E15" s="120"/>
      <c r="F15" s="30">
        <f>SUM(F12:F14)</f>
        <v>550000</v>
      </c>
      <c r="G15" s="30">
        <f t="shared" ref="G15:H15" si="0">SUM(G12:G14)</f>
        <v>0</v>
      </c>
      <c r="H15" s="81">
        <f t="shared" si="0"/>
        <v>20000000</v>
      </c>
      <c r="I15" s="31"/>
    </row>
    <row r="16" spans="1:10">
      <c r="A16" s="90" t="s">
        <v>21</v>
      </c>
      <c r="B16" s="91"/>
      <c r="C16" s="91"/>
      <c r="D16" s="91"/>
      <c r="E16" s="91"/>
      <c r="F16" s="91"/>
      <c r="G16" s="91"/>
      <c r="H16" s="91"/>
      <c r="I16" s="92"/>
    </row>
    <row r="17" spans="1:10" s="88" customFormat="1" ht="342">
      <c r="A17" s="83" t="s">
        <v>94</v>
      </c>
      <c r="B17" s="83" t="s">
        <v>88</v>
      </c>
      <c r="C17" s="83" t="s">
        <v>95</v>
      </c>
      <c r="D17" s="83" t="s">
        <v>96</v>
      </c>
      <c r="E17" s="83" t="s">
        <v>103</v>
      </c>
      <c r="F17" s="84">
        <v>300000</v>
      </c>
      <c r="G17" s="85">
        <v>0</v>
      </c>
      <c r="H17" s="84">
        <v>0</v>
      </c>
      <c r="I17" s="86" t="s">
        <v>104</v>
      </c>
      <c r="J17" s="87"/>
    </row>
    <row r="18" spans="1:10" ht="19.5" customHeight="1">
      <c r="A18" s="118" t="s">
        <v>20</v>
      </c>
      <c r="B18" s="119"/>
      <c r="C18" s="119"/>
      <c r="D18" s="119"/>
      <c r="E18" s="120"/>
      <c r="F18" s="30">
        <f>SUM(F17)</f>
        <v>300000</v>
      </c>
      <c r="G18" s="30">
        <f t="shared" ref="G18" si="1">SUM(G15:G17)</f>
        <v>0</v>
      </c>
      <c r="H18" s="81">
        <v>0</v>
      </c>
      <c r="I18" s="31"/>
    </row>
    <row r="19" spans="1:10">
      <c r="A19" s="90" t="s">
        <v>80</v>
      </c>
      <c r="B19" s="91"/>
      <c r="C19" s="91"/>
      <c r="D19" s="91"/>
      <c r="E19" s="91"/>
      <c r="F19" s="91"/>
      <c r="G19" s="91"/>
      <c r="H19" s="91"/>
      <c r="I19" s="92"/>
    </row>
    <row r="20" spans="1:10" s="70" customFormat="1" ht="78.75">
      <c r="A20" s="93" t="s">
        <v>81</v>
      </c>
      <c r="B20" s="94"/>
      <c r="C20" s="77" t="s">
        <v>82</v>
      </c>
      <c r="D20" s="93" t="s">
        <v>83</v>
      </c>
      <c r="E20" s="94"/>
      <c r="F20" s="93" t="s">
        <v>84</v>
      </c>
      <c r="G20" s="95"/>
      <c r="H20" s="94"/>
      <c r="I20" s="77" t="s">
        <v>85</v>
      </c>
      <c r="J20" s="69"/>
    </row>
    <row r="21" spans="1:10" s="70" customFormat="1" ht="88.5" customHeight="1">
      <c r="A21" s="135" t="s">
        <v>105</v>
      </c>
      <c r="B21" s="136"/>
      <c r="C21" s="82">
        <v>13.43</v>
      </c>
      <c r="D21" s="137">
        <v>26100000</v>
      </c>
      <c r="E21" s="138"/>
      <c r="F21" s="137">
        <v>13050000</v>
      </c>
      <c r="G21" s="139"/>
      <c r="H21" s="138"/>
      <c r="I21" s="71"/>
      <c r="J21" s="69"/>
    </row>
    <row r="22" spans="1:10" s="43" customFormat="1" ht="19.5" customHeight="1">
      <c r="A22" s="75" t="s">
        <v>22</v>
      </c>
      <c r="B22" s="75"/>
      <c r="C22" s="75"/>
      <c r="D22" s="75"/>
      <c r="E22" s="75"/>
      <c r="F22" s="36"/>
      <c r="G22" s="38" t="e">
        <f>SUM(#REF!,#REF!,#REF!)</f>
        <v>#REF!</v>
      </c>
      <c r="H22" s="36"/>
      <c r="I22" s="76"/>
      <c r="J22" s="42"/>
    </row>
    <row r="23" spans="1:10">
      <c r="A23" s="96" t="s">
        <v>24</v>
      </c>
      <c r="B23" s="97"/>
      <c r="C23" s="97"/>
      <c r="D23" s="97"/>
      <c r="E23" s="98"/>
      <c r="F23" s="99" t="e">
        <f>SUM(G15,G22)</f>
        <v>#REF!</v>
      </c>
      <c r="G23" s="100"/>
      <c r="H23" s="100"/>
      <c r="I23" s="101"/>
    </row>
    <row r="24" spans="1:10" ht="15.75" customHeight="1">
      <c r="A24" s="48" t="s">
        <v>56</v>
      </c>
      <c r="B24" s="49"/>
      <c r="C24" s="48" t="s">
        <v>25</v>
      </c>
      <c r="D24" s="52"/>
      <c r="E24" s="49"/>
      <c r="F24" s="48" t="s">
        <v>23</v>
      </c>
      <c r="G24" s="54"/>
      <c r="H24" s="54"/>
      <c r="I24" s="55"/>
    </row>
    <row r="25" spans="1:10">
      <c r="A25" s="50"/>
      <c r="B25" s="51"/>
      <c r="C25" s="50"/>
      <c r="D25" s="53"/>
      <c r="E25" s="51"/>
      <c r="F25" s="111"/>
      <c r="G25" s="112"/>
      <c r="H25" s="112"/>
      <c r="I25" s="113"/>
    </row>
    <row r="26" spans="1:10">
      <c r="A26" s="105"/>
      <c r="B26" s="106"/>
      <c r="C26" s="105"/>
      <c r="D26" s="109"/>
      <c r="E26" s="106"/>
      <c r="F26" s="114"/>
      <c r="G26" s="112"/>
      <c r="H26" s="112"/>
      <c r="I26" s="113"/>
    </row>
    <row r="27" spans="1:10" ht="24" customHeight="1">
      <c r="A27" s="107"/>
      <c r="B27" s="108"/>
      <c r="C27" s="107"/>
      <c r="D27" s="110"/>
      <c r="E27" s="108"/>
      <c r="F27" s="115"/>
      <c r="G27" s="116"/>
      <c r="H27" s="116"/>
      <c r="I27" s="117"/>
    </row>
    <row r="28" spans="1:10" ht="102.75" customHeight="1">
      <c r="A28" s="2"/>
      <c r="B28" s="2"/>
      <c r="C28" s="2"/>
      <c r="D28" s="2"/>
      <c r="E28" s="2"/>
      <c r="F28" s="2"/>
      <c r="J28" s="2"/>
    </row>
    <row r="29" spans="1:10" ht="117.75" customHeight="1">
      <c r="A29" s="2"/>
      <c r="B29" s="2"/>
      <c r="C29" s="2"/>
      <c r="D29" s="2"/>
      <c r="E29" s="2"/>
      <c r="F29" s="2"/>
      <c r="J29" s="2"/>
    </row>
    <row r="30" spans="1:10" ht="101.25" customHeight="1">
      <c r="A30" s="2"/>
      <c r="B30" s="2"/>
      <c r="C30" s="2"/>
      <c r="D30" s="2"/>
      <c r="E30" s="2"/>
      <c r="F30" s="2"/>
      <c r="J30" s="2"/>
    </row>
    <row r="31" spans="1:10" ht="245.25" customHeight="1">
      <c r="A31" s="2"/>
      <c r="B31" s="2"/>
      <c r="C31" s="2"/>
      <c r="D31" s="2"/>
      <c r="E31" s="2"/>
      <c r="F31" s="2"/>
      <c r="J31" s="2"/>
    </row>
    <row r="32" spans="1:10" ht="137.25" customHeight="1">
      <c r="A32" s="2"/>
      <c r="B32" s="2"/>
      <c r="C32" s="2"/>
      <c r="D32" s="2"/>
      <c r="E32" s="2"/>
      <c r="F32" s="2"/>
      <c r="J32" s="2"/>
    </row>
    <row r="33" spans="1:43" ht="205.5" customHeight="1">
      <c r="A33" s="2"/>
      <c r="B33" s="2"/>
      <c r="C33" s="2"/>
      <c r="D33" s="2"/>
      <c r="E33" s="2"/>
      <c r="F33" s="2"/>
      <c r="J33" s="2"/>
    </row>
    <row r="34" spans="1:43" ht="136.5" customHeight="1">
      <c r="A34" s="2"/>
      <c r="B34" s="2"/>
      <c r="C34" s="2"/>
      <c r="D34" s="2"/>
      <c r="E34" s="2"/>
      <c r="F34" s="2"/>
      <c r="J34" s="2"/>
    </row>
    <row r="35" spans="1:43" ht="223.5" customHeight="1">
      <c r="A35" s="2"/>
      <c r="B35" s="2"/>
      <c r="C35" s="2"/>
      <c r="D35" s="2"/>
      <c r="E35" s="2"/>
      <c r="F35" s="2"/>
      <c r="J35" s="2"/>
    </row>
    <row r="36" spans="1:43" ht="50.25" customHeight="1">
      <c r="A36" s="2"/>
      <c r="B36" s="2"/>
      <c r="C36" s="2"/>
      <c r="D36" s="2"/>
      <c r="E36" s="2"/>
      <c r="F36" s="2"/>
      <c r="J36" s="2"/>
    </row>
    <row r="37" spans="1:43" ht="153" customHeight="1">
      <c r="A37" s="2"/>
      <c r="B37" s="2"/>
      <c r="C37" s="2"/>
      <c r="D37" s="2"/>
      <c r="E37" s="2"/>
      <c r="F37" s="2"/>
      <c r="J37" s="2"/>
    </row>
    <row r="38" spans="1:43" s="1" customFormat="1" ht="245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spans="1:43" s="1" customFormat="1" ht="121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43" s="1" customFormat="1" ht="13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spans="1:43" s="1" customFormat="1" ht="258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spans="1:43" s="1" customFormat="1" ht="117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spans="1:43" s="1" customFormat="1" ht="114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spans="1:43" s="1" customFormat="1" ht="13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spans="1:43" s="1" customFormat="1" ht="130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1:43" s="1" customFormat="1" ht="173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1:43" s="1" customFormat="1" ht="279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1:43" s="1" customFormat="1" ht="168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1:43" s="1" customFormat="1" ht="13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spans="1:43" s="1" customFormat="1" ht="11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spans="1:43" s="1" customFormat="1" ht="153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spans="1:43" s="1" customFormat="1" ht="16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spans="1:43" s="1" customFormat="1" ht="13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spans="1:43">
      <c r="A54" s="2"/>
      <c r="B54" s="2"/>
      <c r="C54" s="2"/>
      <c r="D54" s="2"/>
      <c r="E54" s="2"/>
      <c r="F54" s="2"/>
      <c r="J54" s="2"/>
    </row>
    <row r="55" spans="1:43" ht="86.25" customHeight="1">
      <c r="A55" s="2"/>
      <c r="B55" s="2"/>
      <c r="C55" s="2"/>
      <c r="D55" s="2"/>
      <c r="E55" s="2"/>
      <c r="F55" s="2"/>
      <c r="J55" s="2"/>
    </row>
    <row r="56" spans="1:43" ht="129.75" customHeight="1">
      <c r="A56" s="2"/>
      <c r="B56" s="2"/>
      <c r="C56" s="2"/>
      <c r="D56" s="2"/>
      <c r="E56" s="2"/>
      <c r="F56" s="2"/>
      <c r="J56" s="2"/>
    </row>
    <row r="57" spans="1:43" ht="102" customHeight="1">
      <c r="A57" s="2"/>
      <c r="B57" s="2"/>
      <c r="C57" s="2"/>
      <c r="D57" s="2"/>
      <c r="E57" s="2"/>
      <c r="F57" s="2"/>
      <c r="J57" s="2"/>
    </row>
    <row r="58" spans="1:43" s="16" customFormat="1" ht="213" customHeight="1"/>
    <row r="59" spans="1:43" s="16" customFormat="1" ht="101.25" customHeight="1"/>
    <row r="60" spans="1:43" s="17" customFormat="1" ht="34.5" customHeight="1"/>
    <row r="61" spans="1:43" s="14" customFormat="1" ht="158.25" customHeight="1"/>
    <row r="62" spans="1:43" ht="119.25" customHeight="1">
      <c r="A62" s="2"/>
      <c r="B62" s="2"/>
      <c r="C62" s="2"/>
      <c r="D62" s="2"/>
      <c r="E62" s="2"/>
      <c r="F62" s="2"/>
      <c r="J62" s="2"/>
    </row>
    <row r="63" spans="1:43">
      <c r="A63" s="2"/>
      <c r="B63" s="2"/>
      <c r="C63" s="2"/>
      <c r="D63" s="2"/>
      <c r="E63" s="2"/>
      <c r="F63" s="2"/>
      <c r="J63" s="2"/>
    </row>
    <row r="64" spans="1:43" ht="68.25" customHeight="1">
      <c r="A64" s="2"/>
      <c r="B64" s="2"/>
      <c r="C64" s="2"/>
      <c r="D64" s="2"/>
      <c r="E64" s="2"/>
      <c r="F64" s="2"/>
      <c r="J64" s="2"/>
    </row>
    <row r="65" s="14" customFormat="1" ht="93.75" customHeight="1"/>
    <row r="66" s="2" customFormat="1" ht="99.75" customHeight="1"/>
    <row r="67" s="14" customFormat="1" ht="62.25" customHeight="1"/>
    <row r="68" s="2" customFormat="1" ht="19.5" customHeight="1"/>
    <row r="69" s="2" customFormat="1" ht="182.25" customHeight="1"/>
    <row r="70" s="2" customFormat="1" ht="197.25" customHeight="1"/>
    <row r="71" s="2" customFormat="1" ht="196.5" customHeight="1"/>
    <row r="72" s="2" customFormat="1" ht="133.5" customHeight="1"/>
    <row r="73" s="2" customFormat="1" ht="18.75" customHeight="1"/>
    <row r="74" s="2" customFormat="1" ht="163.5" customHeight="1"/>
    <row r="75" s="2" customFormat="1"/>
    <row r="76" s="2" customFormat="1" ht="140.25" customHeight="1"/>
    <row r="77" s="2" customFormat="1" ht="228.75" customHeight="1"/>
    <row r="78" s="2" customFormat="1" ht="15.75" customHeight="1"/>
    <row r="79" s="2" customFormat="1" ht="356.25" customHeight="1"/>
    <row r="80" s="2" customFormat="1" ht="94.5" customHeight="1"/>
    <row r="81" s="2" customFormat="1" ht="15.75" customHeight="1"/>
    <row r="82" s="2" customFormat="1" ht="198.75" customHeight="1"/>
    <row r="83" s="2" customFormat="1" ht="144.75" customHeight="1"/>
    <row r="84" s="2" customFormat="1" ht="133.5" customHeight="1"/>
    <row r="85" s="2" customFormat="1" ht="146.25" customHeight="1"/>
    <row r="86" s="2" customFormat="1" ht="16.5" customHeight="1"/>
    <row r="87" s="2" customFormat="1" ht="99.75" customHeight="1"/>
    <row r="88" s="2" customFormat="1" ht="165" customHeight="1"/>
    <row r="89" s="2" customFormat="1"/>
    <row r="90" s="2" customFormat="1" ht="216" customHeight="1"/>
    <row r="91" s="2" customFormat="1" ht="357" customHeight="1"/>
    <row r="92" s="2" customFormat="1" ht="384" customHeight="1"/>
    <row r="93" s="2" customFormat="1" ht="196.5" customHeight="1"/>
    <row r="94" s="2" customFormat="1" ht="149.25" customHeight="1"/>
    <row r="95" s="2" customFormat="1" ht="258.75" customHeight="1"/>
    <row r="96" s="2" customFormat="1" ht="19.5" customHeight="1"/>
    <row r="97" s="2" customFormat="1" ht="260.25" customHeight="1"/>
    <row r="98" s="2" customFormat="1" ht="21" customHeight="1"/>
    <row r="99" s="2" customFormat="1" ht="206.25" customHeight="1"/>
    <row r="100" s="2" customFormat="1" ht="21" customHeight="1"/>
    <row r="101" s="2" customFormat="1" ht="45" customHeight="1"/>
    <row r="102" s="17" customFormat="1" ht="135.75" customHeight="1"/>
    <row r="103" s="2" customFormat="1" ht="18" customHeight="1"/>
    <row r="104" s="2" customFormat="1" ht="74.25" customHeight="1"/>
    <row r="105" s="2" customFormat="1" ht="203.25" customHeight="1"/>
    <row r="106" s="2" customFormat="1" ht="149.25" customHeight="1"/>
    <row r="107" s="2" customFormat="1" ht="194.25" customHeight="1"/>
    <row r="108" s="2" customFormat="1" ht="155.25" customHeight="1"/>
    <row r="109" s="2" customFormat="1" ht="179.25" customHeight="1"/>
    <row r="110" s="2" customFormat="1" ht="186.75" customHeight="1"/>
    <row r="111" s="2" customFormat="1" ht="342.75" customHeight="1"/>
    <row r="112" s="2" customFormat="1" ht="203.25" customHeight="1"/>
    <row r="113" s="2" customFormat="1" ht="180.75" customHeight="1"/>
    <row r="114" s="2" customFormat="1" ht="221.25" customHeight="1"/>
    <row r="115" s="2" customFormat="1" ht="322.5" customHeight="1"/>
    <row r="116" s="17" customFormat="1" ht="34.5" customHeight="1"/>
    <row r="117" s="14" customFormat="1" ht="158.25" customHeight="1"/>
    <row r="118" s="2" customFormat="1" ht="94.5" customHeight="1"/>
    <row r="119" s="2" customFormat="1"/>
    <row r="120" s="2" customFormat="1" ht="230.25" customHeight="1"/>
    <row r="121" s="2" customFormat="1" ht="118.5" customHeight="1"/>
    <row r="122" s="2" customFormat="1"/>
    <row r="123" s="2" customFormat="1"/>
    <row r="124" s="2" customFormat="1" ht="169.5" customHeight="1"/>
    <row r="125" s="2" customFormat="1" ht="162" customHeight="1"/>
    <row r="126" s="2" customFormat="1" ht="197.25" customHeight="1"/>
    <row r="127" s="2" customFormat="1" ht="322.5" customHeight="1"/>
    <row r="128" s="2" customFormat="1" ht="172.5" customHeight="1"/>
    <row r="129" s="2" customFormat="1" ht="136.5" customHeight="1"/>
    <row r="130" s="2" customFormat="1" ht="131.25" customHeight="1"/>
    <row r="131" s="2" customFormat="1" ht="138" customHeight="1"/>
    <row r="132" s="2" customFormat="1" ht="162.75" customHeight="1"/>
    <row r="133" s="2" customFormat="1" ht="159.75" customHeight="1"/>
    <row r="134" s="2" customFormat="1" ht="175.5" customHeight="1"/>
    <row r="135" s="2" customFormat="1" ht="100.5" customHeight="1"/>
    <row r="136" s="2" customFormat="1" ht="138" customHeight="1"/>
    <row r="137" s="2" customFormat="1" ht="94.5" customHeight="1"/>
    <row r="138" s="2" customFormat="1" ht="15.75" customHeight="1"/>
    <row r="139" s="2" customFormat="1" ht="126" customHeight="1"/>
    <row r="140" s="2" customFormat="1" ht="153" customHeight="1"/>
    <row r="141" s="2" customFormat="1" ht="105.75" customHeight="1"/>
    <row r="142" s="2" customFormat="1" ht="93.75" customHeight="1"/>
    <row r="143" s="2" customFormat="1" ht="15.75" customHeight="1"/>
    <row r="144" s="18" customFormat="1"/>
    <row r="145" s="19" customFormat="1"/>
    <row r="146" s="19" customFormat="1" ht="291.75" customHeight="1"/>
    <row r="147" s="19" customFormat="1" ht="15.75" customHeight="1"/>
    <row r="148" s="19" customFormat="1" ht="119.25" customHeight="1"/>
    <row r="149" s="18" customFormat="1"/>
    <row r="150" s="18" customFormat="1"/>
    <row r="151" s="18" customFormat="1"/>
    <row r="152" s="18" customFormat="1"/>
    <row r="153" s="18" customFormat="1"/>
    <row r="154" s="18" customFormat="1"/>
    <row r="155" s="18" customFormat="1" ht="137.25" customHeight="1"/>
    <row r="156" s="17" customFormat="1" ht="34.5" customHeight="1"/>
    <row r="157" s="14" customFormat="1" ht="158.25" customHeight="1"/>
    <row r="158" s="2" customFormat="1" ht="19.5" customHeight="1"/>
    <row r="159" s="2" customFormat="1"/>
    <row r="160" s="2" customFormat="1"/>
    <row r="161" s="20" customFormat="1" ht="47.25" customHeight="1"/>
    <row r="162" s="21" customFormat="1" ht="158.25" customHeight="1"/>
    <row r="163" s="2" customFormat="1"/>
    <row r="164" s="2" customFormat="1" ht="215.25" customHeight="1"/>
    <row r="165" s="2" customFormat="1" ht="15.75" customHeight="1"/>
    <row r="166" s="2" customFormat="1" ht="168.75" customHeight="1"/>
    <row r="167" s="2" customFormat="1" ht="180.75" customHeight="1"/>
    <row r="168" s="2" customFormat="1"/>
    <row r="169" s="2" customFormat="1" ht="162.75" customHeight="1"/>
    <row r="170" s="2" customFormat="1" ht="183.75" customHeight="1"/>
    <row r="171" s="16" customFormat="1"/>
    <row r="172" s="2" customFormat="1" ht="168.75" customHeight="1"/>
    <row r="173" s="2" customFormat="1" ht="232.5" customHeight="1"/>
    <row r="174" s="2" customFormat="1" ht="15.75" customHeight="1"/>
    <row r="175" s="2" customFormat="1" ht="103.5" customHeight="1"/>
    <row r="176" s="2" customFormat="1" ht="120" customHeight="1"/>
    <row r="177" s="2" customFormat="1" ht="117" customHeight="1"/>
    <row r="178" s="2" customFormat="1"/>
    <row r="179" s="2" customFormat="1" ht="212.25" customHeight="1"/>
    <row r="180" s="2" customFormat="1" ht="180.75" customHeight="1"/>
    <row r="181" s="2" customFormat="1"/>
    <row r="182" s="18" customFormat="1"/>
    <row r="183" s="18" customFormat="1"/>
    <row r="184" s="18" customFormat="1"/>
    <row r="185" s="18" customFormat="1"/>
    <row r="186" s="18" customFormat="1"/>
    <row r="187" s="18" customFormat="1" ht="47.25" customHeight="1"/>
    <row r="188" s="18" customFormat="1" ht="93.75" customHeight="1"/>
    <row r="189" s="18" customFormat="1"/>
    <row r="190" s="18" customFormat="1"/>
    <row r="191" s="18" customFormat="1"/>
    <row r="192" s="18" customFormat="1"/>
    <row r="193" s="18" customFormat="1"/>
    <row r="194" s="18" customFormat="1"/>
    <row r="195" s="18" customFormat="1"/>
    <row r="196" s="18" customFormat="1"/>
    <row r="197" s="18" customFormat="1"/>
    <row r="198" s="18" customFormat="1"/>
    <row r="199" s="18" customFormat="1"/>
    <row r="200" s="15" customFormat="1" ht="19.5" customHeight="1"/>
    <row r="201" s="2" customFormat="1"/>
    <row r="202" s="2" customFormat="1" ht="90" customHeight="1"/>
    <row r="203" s="2" customFormat="1" ht="36.75" customHeight="1"/>
    <row r="204" s="2" customFormat="1" ht="38.25" customHeight="1"/>
    <row r="205" s="2" customFormat="1" ht="36" customHeight="1"/>
    <row r="206" s="2" customFormat="1" ht="42.75" customHeight="1"/>
    <row r="207" s="2" customFormat="1" ht="36" customHeight="1"/>
    <row r="208" s="2" customFormat="1" ht="36" customHeigh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 ht="15.75" customHeight="1"/>
    <row r="217" s="2" customFormat="1"/>
    <row r="218" s="2" customFormat="1"/>
    <row r="219" s="2" customFormat="1" ht="24" customHeight="1"/>
    <row r="220" s="2" customFormat="1"/>
    <row r="221" s="2" customFormat="1"/>
    <row r="222" s="2" customFormat="1"/>
    <row r="223" s="2" customFormat="1"/>
    <row r="224" s="2" customFormat="1"/>
    <row r="225" s="2" customFormat="1"/>
  </sheetData>
  <mergeCells count="30">
    <mergeCell ref="A21:B21"/>
    <mergeCell ref="A18:E18"/>
    <mergeCell ref="D21:E21"/>
    <mergeCell ref="F21:H21"/>
    <mergeCell ref="A2:I2"/>
    <mergeCell ref="I9:I10"/>
    <mergeCell ref="A11:I11"/>
    <mergeCell ref="A15:E15"/>
    <mergeCell ref="A16:I16"/>
    <mergeCell ref="A19:I19"/>
    <mergeCell ref="A20:B20"/>
    <mergeCell ref="D20:E20"/>
    <mergeCell ref="F20:H20"/>
    <mergeCell ref="A23:E23"/>
    <mergeCell ref="F23:I23"/>
    <mergeCell ref="F25:I27"/>
    <mergeCell ref="A26:B26"/>
    <mergeCell ref="C26:E26"/>
    <mergeCell ref="A27:B27"/>
    <mergeCell ref="C27:E27"/>
    <mergeCell ref="A1:I1"/>
    <mergeCell ref="A3:I3"/>
    <mergeCell ref="A4:H4"/>
    <mergeCell ref="C5:F5"/>
    <mergeCell ref="A9:A10"/>
    <mergeCell ref="B9:B10"/>
    <mergeCell ref="C9:C10"/>
    <mergeCell ref="D9:D10"/>
    <mergeCell ref="E9:E10"/>
    <mergeCell ref="F9:H9"/>
  </mergeCells>
  <pageMargins left="0.35" right="0.16" top="0.75" bottom="0.51" header="0.3" footer="0.3"/>
  <pageSetup paperSize="9" scale="73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Blank</vt:lpstr>
      <vt:lpstr>SALARY DATABASE</vt:lpstr>
      <vt:lpstr>BAF</vt:lpstr>
      <vt:lpstr>CDRRMO</vt:lpstr>
      <vt:lpstr>Blank!Print_Area</vt:lpstr>
      <vt:lpstr>CDRRMO!Print_Area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GAD_PC3</dc:creator>
  <cp:lastModifiedBy>Personal</cp:lastModifiedBy>
  <cp:lastPrinted>2025-01-06T01:17:05Z</cp:lastPrinted>
  <dcterms:created xsi:type="dcterms:W3CDTF">2019-10-17T05:06:47Z</dcterms:created>
  <dcterms:modified xsi:type="dcterms:W3CDTF">2025-01-13T07:16:38Z</dcterms:modified>
</cp:coreProperties>
</file>